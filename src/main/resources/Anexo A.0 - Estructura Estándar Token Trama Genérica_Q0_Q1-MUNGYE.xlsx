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xr:revisionPtr revIDLastSave="2877" documentId="11_24636B6F50BE32B86BDB5BC1EB4F5F6768FCC886" xr6:coauthVersionLast="47" xr6:coauthVersionMax="47" xr10:uidLastSave="{5CFFF83A-90CB-499E-90A6-F71FD88E140C}"/>
  <bookViews>
    <workbookView xWindow="0" yWindow="0" windowWidth="16384" windowHeight="8192" tabRatio="500" firstSheet="5" activeTab="4" xr2:uid="{00000000-000D-0000-FFFF-FFFF00000000}"/>
  </bookViews>
  <sheets>
    <sheet name="TOKEN Q0 INQUIRY" sheetId="1" r:id="rId1"/>
    <sheet name="TOKEN Q1 INQUIRY" sheetId="2" r:id="rId2"/>
    <sheet name="TOKEN Q0 PAYMENT" sheetId="3" r:id="rId3"/>
    <sheet name="TOKEN Q1 PAYMENT" sheetId="4" r:id="rId4"/>
    <sheet name="TOKEN Q0 REVERSAL PAYMENT" sheetId="5" r:id="rId5"/>
    <sheet name="TOKEN Q1 REVERSAL PAYMENT" sheetId="6" r:id="rId6"/>
  </sheets>
  <definedNames>
    <definedName name="LOCAL_MYSQL_DATE_FORMAT">REPT("local_year_format",4)&amp;"local_date_separator"&amp;REPT("local_month_format",2)&amp;"local_date_separator"&amp;REPT("local_day_format",2)&amp;" "&amp;REPT("local_hour_format",2)&amp;"local_time_separator"&amp;REPT("local_minute_format",2)&amp;"local_time_separator"&amp;REPT("local_second_format",2)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0" i="2" l="1"/>
  <c r="B63" i="6"/>
  <c r="B43" i="6"/>
  <c r="B26" i="6"/>
  <c r="B11" i="6"/>
  <c r="B66" i="5"/>
  <c r="B48" i="5"/>
  <c r="B28" i="5"/>
  <c r="B10" i="5"/>
  <c r="B81" i="4"/>
  <c r="B60" i="4"/>
  <c r="B40" i="4"/>
  <c r="B11" i="4"/>
  <c r="B62" i="3"/>
  <c r="B25" i="3"/>
  <c r="B45" i="3"/>
  <c r="B9" i="3"/>
  <c r="B127" i="2"/>
  <c r="B78" i="2"/>
  <c r="B32" i="2"/>
  <c r="B61" i="1"/>
  <c r="B43" i="1"/>
  <c r="B24" i="1"/>
  <c r="B9" i="1"/>
</calcChain>
</file>

<file path=xl/sharedStrings.xml><?xml version="1.0" encoding="utf-8"?>
<sst xmlns="http://schemas.openxmlformats.org/spreadsheetml/2006/main" count="819" uniqueCount="330">
  <si>
    <t>MUNICIPIO GUAYAQUIL – CEP - Service Code 1</t>
  </si>
  <si>
    <t>TOKEN Q0</t>
  </si>
  <si>
    <t>! Q000017 00021080000000101</t>
  </si>
  <si>
    <t>VALUE</t>
  </si>
  <si>
    <t>LENGTH</t>
  </si>
  <si>
    <t>DESCRIPTION</t>
  </si>
  <si>
    <t>COMMENTS</t>
  </si>
  <si>
    <t>! Q0</t>
  </si>
  <si>
    <t>SET Q0</t>
  </si>
  <si>
    <t>TOKEN HEADER</t>
  </si>
  <si>
    <t>00017</t>
  </si>
  <si>
    <t>TOKEN LENGTH</t>
  </si>
  <si>
    <t>SPACE</t>
  </si>
  <si>
    <t>00021080</t>
  </si>
  <si>
    <t>ABA INSTITUTION CODE</t>
  </si>
  <si>
    <t>000000101</t>
  </si>
  <si>
    <t>OPERATOR CODE</t>
  </si>
  <si>
    <t>TOTAL LENGTH=</t>
  </si>
  <si>
    <t>MUNICIPIO GUAYAQUIL – PREDIOS - Service Code 3</t>
  </si>
  <si>
    <t>! Q000018 A0002108000538729</t>
  </si>
  <si>
    <t>00018</t>
  </si>
  <si>
    <t>A</t>
  </si>
  <si>
    <t>PROCESS TYPE</t>
  </si>
  <si>
    <t>00538729</t>
  </si>
  <si>
    <t>MUNICIPIO GUAYAQUIL – MILOTE - Service Code 2</t>
  </si>
  <si>
    <t>! Q000036 VTA00023C09142659960059777700180001</t>
  </si>
  <si>
    <t>00036</t>
  </si>
  <si>
    <t>VTA</t>
  </si>
  <si>
    <t>TYPE</t>
  </si>
  <si>
    <t>00023</t>
  </si>
  <si>
    <t>SUBTYPE</t>
  </si>
  <si>
    <t>C</t>
  </si>
  <si>
    <t>0914265996</t>
  </si>
  <si>
    <t>DNI</t>
  </si>
  <si>
    <t>00597777</t>
  </si>
  <si>
    <t>00180001</t>
  </si>
  <si>
    <t>MUNICIPIO GUAYAQUIL – MERCADOS - Service Code 4</t>
  </si>
  <si>
    <t>! Q000032 CP000091931439300597777000000787</t>
  </si>
  <si>
    <t>00032</t>
  </si>
  <si>
    <t>P</t>
  </si>
  <si>
    <t>INQUIRY TYPE</t>
  </si>
  <si>
    <t>0000919314393</t>
  </si>
  <si>
    <t>00000787</t>
  </si>
  <si>
    <t>TOKEN Q1</t>
  </si>
  <si>
    <t>! Q100299 STH-TRT2018000025813825-10-2018 00:00:0000099295845600121RECREAMARKETING S.A. 00000000000000000000000000000000000000000000000000000000000000000000000000018500000000000000000000000000000481701-07-2018 00:00:0020RECREAMARKETING S.A.50PARROQUIA GUAYAQUIL LA GARZOTA S/N AV. AGUSTIN FRE09ANO: 2018000000</t>
  </si>
  <si>
    <t>! Q1</t>
  </si>
  <si>
    <t>SET Q1</t>
  </si>
  <si>
    <t>00299</t>
  </si>
  <si>
    <t>STH-TRT</t>
  </si>
  <si>
    <t>PROCESS CODE</t>
  </si>
  <si>
    <t>Get from CodigoTramite field</t>
  </si>
  <si>
    <t>2018</t>
  </si>
  <si>
    <t>TRANSACTION YEAR</t>
  </si>
  <si>
    <t>Get from AnioTransaccion field</t>
  </si>
  <si>
    <t>0000258138</t>
  </si>
  <si>
    <t>TRANSACTION NUMBER</t>
  </si>
  <si>
    <t>Get from NumeroTransaccion field</t>
  </si>
  <si>
    <t>25-10-2018 00:00:00</t>
  </si>
  <si>
    <t>TRANSACTION DATE</t>
  </si>
  <si>
    <t>Get from FechaTransaccion field
The format for the value of this sub field is dd-MM-yyyy HH:mm:ss
If the value of FechaTransaccion is empty then the value for this sub field should be 0000000000000000000</t>
  </si>
  <si>
    <t>000992958456001</t>
  </si>
  <si>
    <t>IDENTIFICATION NUMBER</t>
  </si>
  <si>
    <t>Get from NumeroIdentificacion field</t>
  </si>
  <si>
    <t>21</t>
  </si>
  <si>
    <t>CUSTOMER NAME LENGTH</t>
  </si>
  <si>
    <t>Length of CUSTOMER NAME</t>
  </si>
  <si>
    <t>RECREAMARKETING S.A.</t>
  </si>
  <si>
    <t>CUSTOMER NAME</t>
  </si>
  <si>
    <t>Get from NombreContribuyente field, replace \n by ""</t>
  </si>
  <si>
    <t>0000000000000000000000000000000000</t>
  </si>
  <si>
    <t>PREDIAL CODE</t>
  </si>
  <si>
    <t>Get from CodigoPredial field</t>
  </si>
  <si>
    <t>00000000000</t>
  </si>
  <si>
    <t>TAX AMOUNT</t>
  </si>
  <si>
    <t>** Get from ValorTasa field</t>
  </si>
  <si>
    <t>DEBT AMOUNT</t>
  </si>
  <si>
    <t>** Get from ValorDeuda field</t>
  </si>
  <si>
    <t>FINE AMOUNT</t>
  </si>
  <si>
    <t>** Get from ValorMulta field</t>
  </si>
  <si>
    <t>00000000185</t>
  </si>
  <si>
    <t>INTEREST AMOUNT</t>
  </si>
  <si>
    <t>** Get from ValorInteres field</t>
  </si>
  <si>
    <t>COACTIVE AMOUNT</t>
  </si>
  <si>
    <t>** Get from ValorCoactiva field</t>
  </si>
  <si>
    <t>DISCOUNT AMOUNT</t>
  </si>
  <si>
    <t>** Get from ValorDescuento field</t>
  </si>
  <si>
    <t>00000004817</t>
  </si>
  <si>
    <t>TOTAL AMOUNT</t>
  </si>
  <si>
    <t>** Get from ValorTotal field</t>
  </si>
  <si>
    <t>01-07-2018 00:00:00</t>
  </si>
  <si>
    <t>DUE DATE</t>
  </si>
  <si>
    <t>Get from FechaExigibilidad field, format with dd-MM-yyyy HH:mm:ss. 
If the value of FechaExigibilidad is empty then the value for this sub field should be 0000000000000000000</t>
  </si>
  <si>
    <t>20</t>
  </si>
  <si>
    <t>OBSERVATION1 LENGHT</t>
  </si>
  <si>
    <t>RECREAMARKTING S.A.</t>
  </si>
  <si>
    <t>OBSERVATION1</t>
  </si>
  <si>
    <t>Get from Observacion1 field, replace \n by ""</t>
  </si>
  <si>
    <t>50</t>
  </si>
  <si>
    <t>OBSERVATION2 LENGTH</t>
  </si>
  <si>
    <t>PARROQUIA GUAYAQUIL LA GARZOTA S/N AV. AGUSTIN FR</t>
  </si>
  <si>
    <t>OBSERVATION2</t>
  </si>
  <si>
    <t>Get from Observacion2 field, replace \n by ""</t>
  </si>
  <si>
    <t>09</t>
  </si>
  <si>
    <t>OBSERVATION3 LENGTH</t>
  </si>
  <si>
    <t>ANO: 2018</t>
  </si>
  <si>
    <t>OBSERVATION3</t>
  </si>
  <si>
    <t>Get from Observacion3 field, replace \n by ""</t>
  </si>
  <si>
    <t>000000</t>
  </si>
  <si>
    <t>RESULT CODE</t>
  </si>
  <si>
    <t>Get from codigoDetalleResultado field</t>
  </si>
  <si>
    <t>! Q100223 99993000000371328PANTA MURILLO DELIA Y OVIEDO20181004201800000037130000CNB001    0000000000000000000000000000000000000000000000000000000000000000000000000000000000000000000000000000000000000000000000000000000000000000000000</t>
  </si>
  <si>
    <t>00223</t>
  </si>
  <si>
    <t>9999</t>
  </si>
  <si>
    <t>CURRENT YEAR</t>
  </si>
  <si>
    <t>Get from wanio_vig field. If it is empty set the value "0000"</t>
  </si>
  <si>
    <t>3</t>
  </si>
  <si>
    <t>SEMESTER</t>
  </si>
  <si>
    <t>Get from wsemestre field. If it is empty set the value " "</t>
  </si>
  <si>
    <t>0000003713</t>
  </si>
  <si>
    <t>DEBT</t>
  </si>
  <si>
    <t>** Get from wdeuda field. If it is empty set the value "0000000000"</t>
  </si>
  <si>
    <t>28</t>
  </si>
  <si>
    <t>PANTA MURILLO DELIA Y OVIEDO</t>
  </si>
  <si>
    <t>Get from wcontribuyente field. Replace \n by "". If it is empty set the value ""</t>
  </si>
  <si>
    <t>20181004</t>
  </si>
  <si>
    <t>REGISTRATION DATE</t>
  </si>
  <si>
    <t>Get from Fecha_Reg field. If it is empty set the value "        "</t>
  </si>
  <si>
    <t>YEAR1</t>
  </si>
  <si>
    <t>Get from anio_adicional1 field. If it is empty set the value "0000"</t>
  </si>
  <si>
    <t>VALUE1</t>
  </si>
  <si>
    <t>** Get from valor1 field. If it is empty set the value "0000000000"</t>
  </si>
  <si>
    <t>0000</t>
  </si>
  <si>
    <t>YEAR2</t>
  </si>
  <si>
    <t>Get from anio_adicional2 field. If it is empty set the value "0000"</t>
  </si>
  <si>
    <t>CNB001</t>
  </si>
  <si>
    <t>VALUE2</t>
  </si>
  <si>
    <t>** Get from valor2 field. If it is empty set the value "0000000000"</t>
  </si>
  <si>
    <t>YEAR3</t>
  </si>
  <si>
    <t>Get from anio_adicional3 field. If it is empty set the value "0000"</t>
  </si>
  <si>
    <t>0000000000</t>
  </si>
  <si>
    <t>VALUE3</t>
  </si>
  <si>
    <t>** Get from valor3 field. If it is empty set the value "0000000000"</t>
  </si>
  <si>
    <t>YEAR4</t>
  </si>
  <si>
    <t>Get from anio_adicional4 field. If it is empty set the value "0000"</t>
  </si>
  <si>
    <t>VALUE4</t>
  </si>
  <si>
    <t>** Get from valor4 field. If it is empty set the value "0000000000"</t>
  </si>
  <si>
    <t>YEAR5</t>
  </si>
  <si>
    <t>Get from anio_adicional5 field. If it is empty set the value "0000"</t>
  </si>
  <si>
    <t>VALUE5</t>
  </si>
  <si>
    <t>** Get from valor5 field. If it is empty set the value "0000000000"</t>
  </si>
  <si>
    <t>YEAR6</t>
  </si>
  <si>
    <t>Get from anio_adicional6 field. If it is empty set the value "0000"</t>
  </si>
  <si>
    <t>VALUE6</t>
  </si>
  <si>
    <t>** Get from valor6 field. If it is empty set the value "0000000000"</t>
  </si>
  <si>
    <t>YEAR7</t>
  </si>
  <si>
    <t>Get from anio_adicional7 field. If it is empty set the value "0000"</t>
  </si>
  <si>
    <t>VALUE7</t>
  </si>
  <si>
    <t>** Get from valor7 field. If it is empty set the value "0000000000"</t>
  </si>
  <si>
    <t>YEAR8</t>
  </si>
  <si>
    <t>Get from anio_adicional8 field. If it is empty set the value "0000"</t>
  </si>
  <si>
    <t>VALUE8</t>
  </si>
  <si>
    <t>** Get from valor8 field. If it is empty set the value "0000000000"</t>
  </si>
  <si>
    <t>YEAR9</t>
  </si>
  <si>
    <t>Get from anio_adicional9 field. If it is empty set the value "0000"</t>
  </si>
  <si>
    <t>VALUE9</t>
  </si>
  <si>
    <t>** Get from valor9 field. If it is empty set the value "0000000000"</t>
  </si>
  <si>
    <t>YEAR10</t>
  </si>
  <si>
    <t>Get from anio_adicional10 field. If it is empty set the value "0000"</t>
  </si>
  <si>
    <t>VALUE10</t>
  </si>
  <si>
    <t>** Get from valor10 field. If it is empty set the value "0000000000"</t>
  </si>
  <si>
    <t>YEAR11</t>
  </si>
  <si>
    <t>Get from anio_adicional11 field. If it is empty set the value "0000"</t>
  </si>
  <si>
    <t>VALUE11</t>
  </si>
  <si>
    <t>** Get from valor11 field. If it is empty set the value "0000000000"</t>
  </si>
  <si>
    <t>YEAR12</t>
  </si>
  <si>
    <t>Get from anio_adicional12 field. If it is empty set the value "0000"</t>
  </si>
  <si>
    <t>VALUE12</t>
  </si>
  <si>
    <t>** Get from valor12 field. If it is empty set the value "0000000000"</t>
  </si>
  <si>
    <t>00</t>
  </si>
  <si>
    <t>ERROR</t>
  </si>
  <si>
    <t>Get from lv_error field. Its mepty set "00"</t>
  </si>
  <si>
    <t>! Q100385 2013000000090531MANUELA DE JESUS CEDENO RAMOS  97200801214060614070600025009720090131407061408060002500972010014140806140906000250097201101514090614100600025009720120161410061411060002500972013017141106141206000250097201401814120615010600025009720150191501061502060002500972016020150206150306000250097201702115030615040600025009720180221504061505060002500972019023150506150606000250042</t>
  </si>
  <si>
    <t>00385</t>
  </si>
  <si>
    <t>2013</t>
  </si>
  <si>
    <t>YEAR</t>
  </si>
  <si>
    <t>Get from Anio field. Its empty "0000"</t>
  </si>
  <si>
    <t>0000000905</t>
  </si>
  <si>
    <t>NUMBER</t>
  </si>
  <si>
    <t>Get from Numero field. Its empty "0000000000"</t>
  </si>
  <si>
    <t>31</t>
  </si>
  <si>
    <t>MANUELA DE JESUS CEDENO RAMOS</t>
  </si>
  <si>
    <t>Get from Nombre field, replace \n by "". Its empty ""</t>
  </si>
  <si>
    <t>972008012140606140706000250097200901314070614080600025009720100141408061409060002500972011015140906141006000250097201201614100614110600025009720130171411061412060002500972014018141206150106000250097201501915010615020600025009720160201502061503060002500972017021150306150406000250097201802215040615050600025009720190231505061506060002500</t>
  </si>
  <si>
    <t>VALUES QUERY</t>
  </si>
  <si>
    <t>Get from ConsultaValores field. Its empty fill with zeros</t>
  </si>
  <si>
    <t>42</t>
  </si>
  <si>
    <t>MAXIMUN QUOTES</t>
  </si>
  <si>
    <t>Get from CuotaMaxima field. its empty "00"</t>
  </si>
  <si>
    <t>! Q100431 0000016904SAP31SOLICITUD ASIGNACION DE PUESTOS002390-2109-001-0-1-341-(1)08SAUCES 9016904002020201020228000057401690400302030102033100005730169040010204010204300001148016904002020501020531000114700000000000000000000000000000000000000000000000000000000000000000000000000000000000000000000000000000000000000000000000000000000000000000000000000000000000000000000000000000000000000000000000000000000000000000000000000000000000000000000</t>
  </si>
  <si>
    <t>00431</t>
  </si>
  <si>
    <t>0000016904</t>
  </si>
  <si>
    <t>DEBT ID</t>
  </si>
  <si>
    <t>Get from IdDeuda field. Its empty "0000000000"</t>
  </si>
  <si>
    <t>SAP</t>
  </si>
  <si>
    <t>REQUEST TYPE</t>
  </si>
  <si>
    <t>Get from TipoSolicitud field, replace \n by "". Its empty "   "</t>
  </si>
  <si>
    <t>SOLIDARITY DISCOUNT LENGTH</t>
  </si>
  <si>
    <t>SOLICITUD ASIGNACION DE PUESTOS</t>
  </si>
  <si>
    <t>SOLIDARITY DISCOUNT</t>
  </si>
  <si>
    <t>Get from DescripcionTipo field, replace \n by "". Its empty ""</t>
  </si>
  <si>
    <t>NAME LENGTH</t>
  </si>
  <si>
    <t>NAME</t>
  </si>
  <si>
    <t>Get from NombreComerciante field, replace \n by "". Its empty ""</t>
  </si>
  <si>
    <t>23</t>
  </si>
  <si>
    <t>STORE CODE LENGTH</t>
  </si>
  <si>
    <t>90-2109-001-0-1-341-(1)</t>
  </si>
  <si>
    <t>STORE CODE</t>
  </si>
  <si>
    <t>Get from CodigoPuesto field. Its empty ""</t>
  </si>
  <si>
    <t>08</t>
  </si>
  <si>
    <t>MERCHANT DESCRIPTION LENGTH</t>
  </si>
  <si>
    <t>SAUCES 9</t>
  </si>
  <si>
    <t>MERCHANT DESCRIPTION</t>
  </si>
  <si>
    <t>Get from DescripcionMercado field, replace \n by "". Its empty ""</t>
  </si>
  <si>
    <t>016904002020201020228000057401690400302030102033100005730169040010204010204300001148016904002020501020531000114700000000000000000000000000000000000000000000000000000000000000000000000000000000000000000000000000000000000000000000000000000000000000000000000000000000000000000000000000000000000000000000000000000000000000000000000000000000000000000000</t>
  </si>
  <si>
    <t>NOTE: Number Fields padleft with zeros</t>
  </si>
  <si>
    <t>NOTE: String Fields padright with spaces</t>
  </si>
  <si>
    <t>** (Format the value with the rules: 
1. If the value has more than 2 decimal digits. Round the value to 2 decimal digits. For example: 
   a) 35,350 -&gt; 35,35
   b) 35,351 -&gt; 35,35
   c) 35,355 -&gt; 35,36
   d) 35,354 -&gt; 35,35
   e) 35,000 -&gt; 35,00
2. Format the rounded value setting the last digits as decimal without decimal separator. For example:
    a) 35,36 -&gt; 3536
    b) 35,3  -&gt;  3530
    c) 35,00 -&gt; 3500
    c)  35     -&gt;  3500
3. Pad left with zeros to complete the leght required. For example, if the value is 3536 after step 2 and legth is 11 then the value should be: 
   a) 00000003536</t>
  </si>
  <si>
    <t xml:space="preserve"> 00021080</t>
  </si>
  <si>
    <t>! Q000023 P2009300597777000180001</t>
  </si>
  <si>
    <t>2009</t>
  </si>
  <si>
    <t>000180001</t>
  </si>
  <si>
    <t>! Q000078 VTA00023P091426599620130000000905972008012140606140706000250000597777000180001</t>
  </si>
  <si>
    <t>00078</t>
  </si>
  <si>
    <t>9720080121406061407060002500</t>
  </si>
  <si>
    <t>VALUES QUERIES</t>
  </si>
  <si>
    <t>! Q000070 PP00000723510000919314393072351002181101181130000188700597777000007887</t>
  </si>
  <si>
    <t>00070</t>
  </si>
  <si>
    <t>0000072351</t>
  </si>
  <si>
    <t>COLLECTION ID</t>
  </si>
  <si>
    <t>0723510021811011811300001887</t>
  </si>
  <si>
    <t>000007887</t>
  </si>
  <si>
    <t>! Q100045 0000006120002070251119-11-2018 13:36:15000000</t>
  </si>
  <si>
    <t>00045</t>
  </si>
  <si>
    <t>0000006120</t>
  </si>
  <si>
    <t>AUTHORIZATION CODE</t>
  </si>
  <si>
    <t>Get from codigoAutorizacion field</t>
  </si>
  <si>
    <t>0020702511</t>
  </si>
  <si>
    <t>Get from IdCobro field</t>
  </si>
  <si>
    <t>19-11-2018 13:36:15</t>
  </si>
  <si>
    <t>COLLECTION DATE</t>
  </si>
  <si>
    <t>Get from FechaCobro, set with format dd-MM-yyyy HH:mm:ss. Its empty set timestamp with same format.</t>
  </si>
  <si>
    <t>! Q100157 20093000000068029BORBOR TORRES EFRAIN ENRIQUE.000039421800001576870000216000   Q-4743140000000000000000036800000000000000000000201811160000146337002070278600</t>
  </si>
  <si>
    <t>00157</t>
  </si>
  <si>
    <t>Get from wanio_vig field. Its empty set "0000"</t>
  </si>
  <si>
    <t>Get from wsemestre field. Its empty set " "</t>
  </si>
  <si>
    <t>0000000680</t>
  </si>
  <si>
    <t>** Get from wdeuda field. Its empty set "0000000000"</t>
  </si>
  <si>
    <t>BORBOR TORRES EFRAIN ENRIQUE.</t>
  </si>
  <si>
    <t>Get from wcontribuyente field, replace \n by "". Its empty set ""</t>
  </si>
  <si>
    <t>0000394218</t>
  </si>
  <si>
    <t>AV COMERCIAL</t>
  </si>
  <si>
    <t>** Get from av_comercial field. Its empty set "000000000"</t>
  </si>
  <si>
    <t>0000157687</t>
  </si>
  <si>
    <t>AV CATASTRAL</t>
  </si>
  <si>
    <t>** Get from av_catastral field. Its empty set "0000000000"</t>
  </si>
  <si>
    <t>0000216000</t>
  </si>
  <si>
    <t>AV IMPONIBLE</t>
  </si>
  <si>
    <t>** Get from av_imponible field. Its empty set "0000000000"</t>
  </si>
  <si>
    <t xml:space="preserve">   Q-474314</t>
  </si>
  <si>
    <t>TITLE</t>
  </si>
  <si>
    <t>Get from titulo_credito field. Its empty "           "</t>
  </si>
  <si>
    <t>DISCOUNT</t>
  </si>
  <si>
    <t>** Get from Descuento field. If is empty then the value is "0000000000"</t>
  </si>
  <si>
    <t>0000000368</t>
  </si>
  <si>
    <t>RECHARGE</t>
  </si>
  <si>
    <t>** Get from Recargo field,  If is empty then the value is "0000000000"</t>
  </si>
  <si>
    <t>COACTIVE</t>
  </si>
  <si>
    <t>** Get from Coactiva field, If is empty then the value is "0000000000"</t>
  </si>
  <si>
    <t>LIQUIDATION</t>
  </si>
  <si>
    <t>** Get from Liquidacion field, If is empty then the value is "0000000000"</t>
  </si>
  <si>
    <t>Get from Fecha_Reg field. Its empty "        "</t>
  </si>
  <si>
    <t>0000146337</t>
  </si>
  <si>
    <t>LIQUIDATION NUMBER</t>
  </si>
  <si>
    <t>Get from Num_Liquidacion field. Its empty "0000000000"</t>
  </si>
  <si>
    <t>0020702786</t>
  </si>
  <si>
    <t>CUIC</t>
  </si>
  <si>
    <t>Get from CUIC field. Its empty "0000000000"</t>
  </si>
  <si>
    <t>Get value from lv_error. If lv_error is empty the the value for ERROR should be two blank spaces</t>
  </si>
  <si>
    <t>! Q100085 201811132013000000090531MANUELA DE JESUS CEDENO RAMOS  972008012140606140706000250042</t>
  </si>
  <si>
    <t>00085</t>
  </si>
  <si>
    <t>Get from Fecha_Reg field. Its empty "00000000"</t>
  </si>
  <si>
    <t>Get from Anio field. Its empty set "0000"</t>
  </si>
  <si>
    <t xml:space="preserve">MANUELA DE JESUS CEDENO RAMOS </t>
  </si>
  <si>
    <t>Get from ConsultaValores. Its empty fill with zeros</t>
  </si>
  <si>
    <t>MAXIMUM QUOTE</t>
  </si>
  <si>
    <t>Get from CuotaMaxima field. Its empty "00"</t>
  </si>
  <si>
    <t>! Q100090 0000016904SAP000060150288316JOSE MALAN BALLA0169040020202010202280000574002070276620181115</t>
  </si>
  <si>
    <t>00090</t>
  </si>
  <si>
    <t>Get from TipoSolicitud field, replace \n by "". Its empty ""</t>
  </si>
  <si>
    <t>0000601502883</t>
  </si>
  <si>
    <t>Get from CedulaComerciante field. Its empty "0000000000000"</t>
  </si>
  <si>
    <t>JOSE MALAN BALLA</t>
  </si>
  <si>
    <t>0169040020202010202280000574</t>
  </si>
  <si>
    <t>Get from ConsultaValores field. its empty fill with zeros</t>
  </si>
  <si>
    <t>0020702766</t>
  </si>
  <si>
    <t>PAYMENT ID</t>
  </si>
  <si>
    <t>Get from IdPago field. its empty "0000000000"</t>
  </si>
  <si>
    <t>! Q000027 000000612300597777000180001</t>
  </si>
  <si>
    <t>00027</t>
  </si>
  <si>
    <t>0000006123</t>
  </si>
  <si>
    <t>! Q000023 R2009300597777000180001</t>
  </si>
  <si>
    <t>R</t>
  </si>
  <si>
    <t>! Q000078 VTA00023R091426599620130000000905972008012140606140706000250000597777000180001</t>
  </si>
  <si>
    <t>! Q100016 0000006123000000</t>
  </si>
  <si>
    <t>00016</t>
  </si>
  <si>
    <t>! Q100007 2009300</t>
  </si>
  <si>
    <t>00007</t>
  </si>
  <si>
    <t>Get from wanio_vig field. Its empty "0000"</t>
  </si>
  <si>
    <t>Get from wsemestre field. Its empty " "</t>
  </si>
  <si>
    <t>Get from lv_error field. Its empty "  "</t>
  </si>
  <si>
    <t>Get from Fecha_reg field. Its empty "00000000"</t>
  </si>
  <si>
    <t>Get from Nombre, replace \n by "". Its empty ""</t>
  </si>
  <si>
    <t>MAXIMUM QUOTES</t>
  </si>
  <si>
    <t>! Q100063 0000016904SAP16JOSE MALAN BALLA00000169040020202010202280000574</t>
  </si>
  <si>
    <t>00063</t>
  </si>
  <si>
    <t>variable</t>
  </si>
  <si>
    <t>Get from CodigoPuesto field.</t>
  </si>
  <si>
    <t>MERCHANT NAME LENGTH</t>
  </si>
  <si>
    <t>MERCHANT NAME</t>
  </si>
  <si>
    <t>Get from DescripcionMercado field, replace \n by "". Its not present set with empty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</si>
</sst>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9"/>
      <color rgb="FF000000"/>
      <name val="Arial Unicode MS"/>
      <family val="2"/>
      <charset val="1"/>
    </font>
    <font>
      <b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C0504D"/>
        <bgColor rgb="FF993366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vertical="center"/>
    </xf>
    <xf numFmtId="49" fontId="0" fillId="4" borderId="0" xfId="0" applyNumberFormat="1" applyFill="1" applyAlignment="1">
      <alignment horizontal="right"/>
    </xf>
    <xf numFmtId="0" fontId="0" fillId="4" borderId="0" xfId="0" applyFill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left" wrapText="1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22" fontId="0" fillId="0" borderId="0" xfId="0" quotePrefix="1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0" fontId="3" fillId="5" borderId="0" xfId="0" applyFont="1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zoomScaleNormal="100" workbookViewId="0">
      <selection activeCell="C23" sqref="C23"/>
    </sheetView>
  </sheetViews>
  <sheetFormatPr defaultColWidth="8" defaultRowHeight="15"/>
  <cols>
    <col min="1" max="1" width="22" customWidth="1"/>
    <col min="2" max="2" width="10.28515625" style="5" customWidth="1"/>
    <col min="3" max="3" width="66.28515625" style="5" customWidth="1"/>
    <col min="4" max="4" width="36.42578125" customWidth="1"/>
    <col min="5" max="5" width="10.28515625" customWidth="1"/>
    <col min="6" max="6" width="11.5703125" customWidth="1"/>
  </cols>
  <sheetData>
    <row r="1" spans="1:10">
      <c r="A1" s="27" t="s">
        <v>0</v>
      </c>
      <c r="B1" s="27"/>
      <c r="C1" s="27"/>
      <c r="D1" s="27"/>
    </row>
    <row r="2" spans="1:10">
      <c r="A2" t="s">
        <v>1</v>
      </c>
      <c r="B2" s="25" t="s">
        <v>2</v>
      </c>
      <c r="C2" s="25"/>
      <c r="D2" s="25"/>
      <c r="E2" s="25"/>
      <c r="F2" s="25"/>
      <c r="G2" s="25"/>
      <c r="H2" s="25"/>
      <c r="I2" s="25"/>
      <c r="J2" s="25"/>
    </row>
    <row r="3" spans="1:10">
      <c r="A3" s="6" t="s">
        <v>3</v>
      </c>
      <c r="B3" s="6" t="s">
        <v>4</v>
      </c>
      <c r="C3" s="6" t="s">
        <v>5</v>
      </c>
      <c r="D3" s="6" t="s">
        <v>6</v>
      </c>
    </row>
    <row r="4" spans="1:10">
      <c r="A4" s="5" t="s">
        <v>7</v>
      </c>
      <c r="B4" s="5">
        <v>4</v>
      </c>
      <c r="C4" s="5" t="s">
        <v>8</v>
      </c>
      <c r="D4" s="28" t="s">
        <v>9</v>
      </c>
    </row>
    <row r="5" spans="1:10">
      <c r="A5" s="7" t="s">
        <v>10</v>
      </c>
      <c r="B5" s="5">
        <v>5</v>
      </c>
      <c r="C5" s="5" t="s">
        <v>11</v>
      </c>
      <c r="D5" s="28"/>
    </row>
    <row r="6" spans="1:10">
      <c r="A6" s="7"/>
      <c r="B6" s="5">
        <v>1</v>
      </c>
      <c r="C6" s="5" t="s">
        <v>12</v>
      </c>
    </row>
    <row r="7" spans="1:10">
      <c r="A7" s="8" t="s">
        <v>13</v>
      </c>
      <c r="B7" s="5">
        <v>8</v>
      </c>
      <c r="C7" s="5" t="s">
        <v>14</v>
      </c>
    </row>
    <row r="8" spans="1:10">
      <c r="A8" s="9" t="s">
        <v>15</v>
      </c>
      <c r="B8" s="4">
        <v>9</v>
      </c>
      <c r="C8" s="5" t="s">
        <v>16</v>
      </c>
    </row>
    <row r="9" spans="1:10">
      <c r="A9" s="10" t="s">
        <v>17</v>
      </c>
      <c r="B9" s="11">
        <f>SUM(B4:B8)</f>
        <v>27</v>
      </c>
    </row>
    <row r="15" spans="1:10" ht="13.9">
      <c r="A15" s="27" t="s">
        <v>18</v>
      </c>
      <c r="B15" s="27"/>
      <c r="C15" s="27"/>
      <c r="D15" s="27"/>
    </row>
    <row r="16" spans="1:10" ht="13.9">
      <c r="A16" t="s">
        <v>1</v>
      </c>
      <c r="B16" s="25" t="s">
        <v>19</v>
      </c>
      <c r="C16" s="25"/>
      <c r="D16" s="25"/>
      <c r="E16" s="25"/>
      <c r="F16" s="25"/>
      <c r="G16" s="25"/>
      <c r="H16" s="25"/>
      <c r="I16" s="25"/>
      <c r="J16" s="25"/>
    </row>
    <row r="17" spans="1:10" ht="13.9">
      <c r="A17" s="6" t="s">
        <v>3</v>
      </c>
      <c r="B17" s="6" t="s">
        <v>4</v>
      </c>
      <c r="C17" s="6" t="s">
        <v>5</v>
      </c>
      <c r="D17" s="6" t="s">
        <v>6</v>
      </c>
    </row>
    <row r="18" spans="1:10" ht="13.9">
      <c r="A18" s="5" t="s">
        <v>7</v>
      </c>
      <c r="B18" s="5">
        <v>4</v>
      </c>
      <c r="C18" s="5" t="s">
        <v>8</v>
      </c>
      <c r="D18" s="28" t="s">
        <v>9</v>
      </c>
    </row>
    <row r="19" spans="1:10" ht="13.9">
      <c r="A19" s="7" t="s">
        <v>20</v>
      </c>
      <c r="B19" s="5">
        <v>5</v>
      </c>
      <c r="C19" s="5" t="s">
        <v>11</v>
      </c>
      <c r="D19" s="28"/>
    </row>
    <row r="20" spans="1:10" ht="13.9">
      <c r="A20" s="7"/>
      <c r="B20" s="5">
        <v>1</v>
      </c>
      <c r="C20" s="5" t="s">
        <v>12</v>
      </c>
    </row>
    <row r="21" spans="1:10">
      <c r="A21" s="7" t="s">
        <v>21</v>
      </c>
      <c r="B21" s="5">
        <v>1</v>
      </c>
      <c r="C21" s="5" t="s">
        <v>22</v>
      </c>
    </row>
    <row r="22" spans="1:10">
      <c r="A22" s="8" t="s">
        <v>13</v>
      </c>
      <c r="B22" s="5">
        <v>8</v>
      </c>
      <c r="C22" s="5" t="s">
        <v>14</v>
      </c>
    </row>
    <row r="23" spans="1:10" ht="13.9">
      <c r="A23" s="9" t="s">
        <v>23</v>
      </c>
      <c r="B23" s="4">
        <v>9</v>
      </c>
      <c r="C23" s="5" t="s">
        <v>16</v>
      </c>
    </row>
    <row r="24" spans="1:10" ht="13.9">
      <c r="A24" s="10" t="s">
        <v>17</v>
      </c>
      <c r="B24" s="11">
        <f>SUM(B18:B23)</f>
        <v>28</v>
      </c>
    </row>
    <row r="31" spans="1:10" ht="13.9">
      <c r="A31" s="27" t="s">
        <v>24</v>
      </c>
      <c r="B31" s="27"/>
      <c r="C31" s="27"/>
      <c r="D31" s="27"/>
    </row>
    <row r="32" spans="1:10" ht="13.9">
      <c r="A32" t="s">
        <v>1</v>
      </c>
      <c r="B32" s="25" t="s">
        <v>25</v>
      </c>
      <c r="C32" s="25"/>
      <c r="D32" s="25"/>
      <c r="E32" s="25"/>
      <c r="F32" s="25"/>
      <c r="G32" s="25"/>
      <c r="H32" s="25"/>
      <c r="I32" s="25"/>
      <c r="J32" s="25"/>
    </row>
    <row r="33" spans="1:4" ht="13.9">
      <c r="A33" s="6" t="s">
        <v>3</v>
      </c>
      <c r="B33" s="6" t="s">
        <v>4</v>
      </c>
      <c r="C33" s="6" t="s">
        <v>5</v>
      </c>
      <c r="D33" s="6" t="s">
        <v>6</v>
      </c>
    </row>
    <row r="34" spans="1:4" ht="13.9">
      <c r="A34" s="5" t="s">
        <v>7</v>
      </c>
      <c r="B34" s="5">
        <v>4</v>
      </c>
      <c r="C34" s="5" t="s">
        <v>8</v>
      </c>
      <c r="D34" s="28" t="s">
        <v>9</v>
      </c>
    </row>
    <row r="35" spans="1:4" ht="13.9">
      <c r="A35" s="7" t="s">
        <v>26</v>
      </c>
      <c r="B35" s="5">
        <v>5</v>
      </c>
      <c r="C35" s="5" t="s">
        <v>11</v>
      </c>
      <c r="D35" s="28"/>
    </row>
    <row r="36" spans="1:4" ht="13.9">
      <c r="A36" s="7"/>
      <c r="B36" s="5">
        <v>1</v>
      </c>
      <c r="C36" s="5" t="s">
        <v>12</v>
      </c>
    </row>
    <row r="37" spans="1:4">
      <c r="A37" s="7" t="s">
        <v>27</v>
      </c>
      <c r="B37" s="5">
        <v>3</v>
      </c>
      <c r="C37" s="5" t="s">
        <v>28</v>
      </c>
    </row>
    <row r="38" spans="1:4">
      <c r="A38" s="7" t="s">
        <v>29</v>
      </c>
      <c r="B38" s="5">
        <v>5</v>
      </c>
      <c r="C38" s="5" t="s">
        <v>30</v>
      </c>
    </row>
    <row r="39" spans="1:4">
      <c r="A39" s="7" t="s">
        <v>31</v>
      </c>
      <c r="B39" s="5">
        <v>1</v>
      </c>
      <c r="C39" s="5" t="s">
        <v>22</v>
      </c>
    </row>
    <row r="40" spans="1:4">
      <c r="A40" s="7" t="s">
        <v>32</v>
      </c>
      <c r="B40" s="5">
        <v>10</v>
      </c>
      <c r="C40" s="5" t="s">
        <v>33</v>
      </c>
    </row>
    <row r="41" spans="1:4">
      <c r="A41" s="8" t="s">
        <v>34</v>
      </c>
      <c r="B41" s="5">
        <v>8</v>
      </c>
      <c r="C41" s="5" t="s">
        <v>14</v>
      </c>
    </row>
    <row r="42" spans="1:4" ht="13.9">
      <c r="A42" s="9" t="s">
        <v>35</v>
      </c>
      <c r="B42" s="4">
        <v>9</v>
      </c>
      <c r="C42" s="5" t="s">
        <v>16</v>
      </c>
    </row>
    <row r="43" spans="1:4" ht="13.9">
      <c r="A43" s="10" t="s">
        <v>17</v>
      </c>
      <c r="B43" s="11">
        <f>SUM(B34:B42)</f>
        <v>46</v>
      </c>
    </row>
    <row r="50" spans="1:10" ht="13.9">
      <c r="A50" s="27" t="s">
        <v>36</v>
      </c>
      <c r="B50" s="27"/>
      <c r="C50" s="27"/>
      <c r="D50" s="27"/>
    </row>
    <row r="51" spans="1:10" ht="13.9">
      <c r="A51" t="s">
        <v>1</v>
      </c>
      <c r="B51" s="25" t="s">
        <v>37</v>
      </c>
      <c r="C51" s="25"/>
      <c r="D51" s="25"/>
      <c r="E51" s="25"/>
      <c r="F51" s="25"/>
      <c r="G51" s="25"/>
      <c r="H51" s="25"/>
      <c r="I51" s="25"/>
      <c r="J51" s="25"/>
    </row>
    <row r="52" spans="1:10" ht="13.9">
      <c r="A52" s="6" t="s">
        <v>3</v>
      </c>
      <c r="B52" s="6" t="s">
        <v>4</v>
      </c>
      <c r="C52" s="6" t="s">
        <v>5</v>
      </c>
      <c r="D52" s="6" t="s">
        <v>6</v>
      </c>
    </row>
    <row r="53" spans="1:10" ht="13.9">
      <c r="A53" s="5" t="s">
        <v>7</v>
      </c>
      <c r="B53" s="5">
        <v>4</v>
      </c>
      <c r="C53" s="5" t="s">
        <v>8</v>
      </c>
      <c r="D53" s="28" t="s">
        <v>9</v>
      </c>
    </row>
    <row r="54" spans="1:10" ht="13.9">
      <c r="A54" s="7" t="s">
        <v>38</v>
      </c>
      <c r="B54" s="5">
        <v>5</v>
      </c>
      <c r="C54" s="5" t="s">
        <v>11</v>
      </c>
      <c r="D54" s="28"/>
    </row>
    <row r="55" spans="1:10" ht="13.9">
      <c r="A55" s="7"/>
      <c r="B55" s="5">
        <v>1</v>
      </c>
      <c r="C55" s="5" t="s">
        <v>12</v>
      </c>
    </row>
    <row r="56" spans="1:10">
      <c r="A56" s="8" t="s">
        <v>31</v>
      </c>
      <c r="B56" s="5">
        <v>1</v>
      </c>
      <c r="C56" s="5" t="s">
        <v>22</v>
      </c>
    </row>
    <row r="57" spans="1:10">
      <c r="A57" s="8" t="s">
        <v>39</v>
      </c>
      <c r="B57" s="5">
        <v>1</v>
      </c>
      <c r="C57" s="5" t="s">
        <v>40</v>
      </c>
    </row>
    <row r="58" spans="1:10">
      <c r="A58" s="8" t="s">
        <v>41</v>
      </c>
      <c r="B58" s="5">
        <v>13</v>
      </c>
      <c r="C58" s="5" t="s">
        <v>33</v>
      </c>
    </row>
    <row r="59" spans="1:10">
      <c r="A59" s="8" t="s">
        <v>34</v>
      </c>
      <c r="B59" s="5">
        <v>8</v>
      </c>
      <c r="C59" s="5" t="s">
        <v>14</v>
      </c>
    </row>
    <row r="60" spans="1:10" ht="13.9">
      <c r="A60" s="9" t="s">
        <v>42</v>
      </c>
      <c r="B60" s="4">
        <v>9</v>
      </c>
      <c r="C60" s="5" t="s">
        <v>16</v>
      </c>
    </row>
    <row r="61" spans="1:10" ht="13.9">
      <c r="A61" s="10" t="s">
        <v>17</v>
      </c>
      <c r="B61" s="11">
        <f>SUM(B53:B60)</f>
        <v>42</v>
      </c>
    </row>
  </sheetData>
  <mergeCells count="12">
    <mergeCell ref="A1:D1"/>
    <mergeCell ref="B2:J2"/>
    <mergeCell ref="D4:D5"/>
    <mergeCell ref="A15:D15"/>
    <mergeCell ref="B16:J16"/>
    <mergeCell ref="B51:J51"/>
    <mergeCell ref="D53:D54"/>
    <mergeCell ref="D18:D19"/>
    <mergeCell ref="A31:D31"/>
    <mergeCell ref="B32:J32"/>
    <mergeCell ref="D34:D35"/>
    <mergeCell ref="A50:D5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9"/>
  <sheetViews>
    <sheetView topLeftCell="A134" zoomScaleNormal="100" workbookViewId="0">
      <selection activeCell="A139" sqref="A139"/>
    </sheetView>
  </sheetViews>
  <sheetFormatPr defaultColWidth="8" defaultRowHeight="15"/>
  <cols>
    <col min="1" max="1" width="47.7109375" customWidth="1"/>
    <col min="3" max="3" width="58.42578125" customWidth="1"/>
    <col min="4" max="4" width="49.42578125" customWidth="1"/>
  </cols>
  <sheetData>
    <row r="1" spans="1:10">
      <c r="A1" s="27" t="s">
        <v>0</v>
      </c>
      <c r="B1" s="27"/>
      <c r="C1" s="27"/>
      <c r="D1" s="27"/>
    </row>
    <row r="2" spans="1:10" ht="13.9" customHeight="1">
      <c r="A2" s="28" t="s">
        <v>43</v>
      </c>
      <c r="B2" s="26" t="s">
        <v>44</v>
      </c>
      <c r="C2" s="26"/>
      <c r="D2" s="26"/>
      <c r="E2" s="26"/>
      <c r="F2" s="26"/>
      <c r="G2" s="26"/>
      <c r="H2" s="26"/>
      <c r="I2" s="26"/>
      <c r="J2" s="26"/>
    </row>
    <row r="3" spans="1:10" ht="15" customHeight="1">
      <c r="A3" s="28"/>
      <c r="B3" s="26"/>
      <c r="C3" s="26"/>
      <c r="D3" s="26"/>
      <c r="E3" s="26"/>
      <c r="F3" s="26"/>
      <c r="G3" s="26"/>
      <c r="H3" s="26"/>
      <c r="I3" s="26"/>
      <c r="J3" s="26"/>
    </row>
    <row r="4" spans="1:10" ht="33" customHeight="1">
      <c r="A4" s="28"/>
      <c r="B4" s="26"/>
      <c r="C4" s="26"/>
      <c r="D4" s="26"/>
      <c r="E4" s="26"/>
      <c r="F4" s="26"/>
      <c r="G4" s="26"/>
      <c r="H4" s="26"/>
      <c r="I4" s="26"/>
      <c r="J4" s="26"/>
    </row>
    <row r="5" spans="1:10">
      <c r="A5" s="6" t="s">
        <v>3</v>
      </c>
      <c r="B5" s="6" t="s">
        <v>4</v>
      </c>
      <c r="C5" s="6" t="s">
        <v>5</v>
      </c>
      <c r="D5" s="6" t="s">
        <v>6</v>
      </c>
    </row>
    <row r="6" spans="1:10">
      <c r="A6" s="5" t="s">
        <v>45</v>
      </c>
      <c r="B6" s="5">
        <v>4</v>
      </c>
      <c r="C6" s="5" t="s">
        <v>46</v>
      </c>
      <c r="D6" s="28" t="s">
        <v>9</v>
      </c>
    </row>
    <row r="7" spans="1:10">
      <c r="A7" s="7" t="s">
        <v>47</v>
      </c>
      <c r="B7" s="5">
        <v>5</v>
      </c>
      <c r="C7" s="5" t="s">
        <v>11</v>
      </c>
      <c r="D7" s="28"/>
    </row>
    <row r="8" spans="1:10">
      <c r="A8" s="7"/>
      <c r="B8" s="5">
        <v>1</v>
      </c>
      <c r="C8" s="5" t="s">
        <v>12</v>
      </c>
    </row>
    <row r="9" spans="1:10">
      <c r="A9" s="7" t="s">
        <v>48</v>
      </c>
      <c r="B9" s="5">
        <v>7</v>
      </c>
      <c r="C9" s="5" t="s">
        <v>49</v>
      </c>
      <c r="D9" t="s">
        <v>50</v>
      </c>
    </row>
    <row r="10" spans="1:10">
      <c r="A10" s="7" t="s">
        <v>51</v>
      </c>
      <c r="B10" s="5">
        <v>4</v>
      </c>
      <c r="C10" s="5" t="s">
        <v>52</v>
      </c>
      <c r="D10" t="s">
        <v>53</v>
      </c>
    </row>
    <row r="11" spans="1:10">
      <c r="A11" s="7" t="s">
        <v>54</v>
      </c>
      <c r="B11" s="5">
        <v>10</v>
      </c>
      <c r="C11" s="5" t="s">
        <v>55</v>
      </c>
      <c r="D11" t="s">
        <v>56</v>
      </c>
    </row>
    <row r="12" spans="1:10" ht="76.5">
      <c r="A12" s="7" t="s">
        <v>57</v>
      </c>
      <c r="B12" s="5">
        <v>19</v>
      </c>
      <c r="C12" s="5" t="s">
        <v>58</v>
      </c>
      <c r="D12" s="2" t="s">
        <v>59</v>
      </c>
    </row>
    <row r="13" spans="1:10">
      <c r="A13" s="7" t="s">
        <v>60</v>
      </c>
      <c r="B13" s="5">
        <v>15</v>
      </c>
      <c r="C13" s="5" t="s">
        <v>61</v>
      </c>
      <c r="D13" t="s">
        <v>62</v>
      </c>
    </row>
    <row r="14" spans="1:10">
      <c r="A14" s="7" t="s">
        <v>63</v>
      </c>
      <c r="B14" s="5">
        <v>2</v>
      </c>
      <c r="C14" s="5" t="s">
        <v>64</v>
      </c>
      <c r="D14" t="s">
        <v>65</v>
      </c>
    </row>
    <row r="15" spans="1:10">
      <c r="A15" s="7" t="s">
        <v>66</v>
      </c>
      <c r="B15" s="5">
        <v>21</v>
      </c>
      <c r="C15" s="5" t="s">
        <v>67</v>
      </c>
      <c r="D15" t="s">
        <v>68</v>
      </c>
    </row>
    <row r="16" spans="1:10">
      <c r="A16" s="7" t="s">
        <v>69</v>
      </c>
      <c r="B16" s="5">
        <v>34</v>
      </c>
      <c r="C16" s="5" t="s">
        <v>70</v>
      </c>
      <c r="D16" t="s">
        <v>71</v>
      </c>
    </row>
    <row r="17" spans="1:4">
      <c r="A17" s="7" t="s">
        <v>72</v>
      </c>
      <c r="B17" s="5">
        <v>11</v>
      </c>
      <c r="C17" s="5" t="s">
        <v>73</v>
      </c>
      <c r="D17" t="s">
        <v>74</v>
      </c>
    </row>
    <row r="18" spans="1:4">
      <c r="A18" s="7" t="s">
        <v>72</v>
      </c>
      <c r="B18" s="5">
        <v>11</v>
      </c>
      <c r="C18" s="5" t="s">
        <v>75</v>
      </c>
      <c r="D18" t="s">
        <v>76</v>
      </c>
    </row>
    <row r="19" spans="1:4">
      <c r="A19" s="7" t="s">
        <v>72</v>
      </c>
      <c r="B19" s="5">
        <v>11</v>
      </c>
      <c r="C19" s="5" t="s">
        <v>77</v>
      </c>
      <c r="D19" t="s">
        <v>78</v>
      </c>
    </row>
    <row r="20" spans="1:4">
      <c r="A20" s="7" t="s">
        <v>79</v>
      </c>
      <c r="B20" s="5">
        <v>11</v>
      </c>
      <c r="C20" s="5" t="s">
        <v>80</v>
      </c>
      <c r="D20" t="s">
        <v>81</v>
      </c>
    </row>
    <row r="21" spans="1:4">
      <c r="A21" s="7" t="s">
        <v>72</v>
      </c>
      <c r="B21" s="5">
        <v>11</v>
      </c>
      <c r="C21" s="5" t="s">
        <v>82</v>
      </c>
      <c r="D21" t="s">
        <v>83</v>
      </c>
    </row>
    <row r="22" spans="1:4">
      <c r="A22" s="7" t="s">
        <v>72</v>
      </c>
      <c r="B22" s="5">
        <v>11</v>
      </c>
      <c r="C22" s="5" t="s">
        <v>84</v>
      </c>
      <c r="D22" t="s">
        <v>85</v>
      </c>
    </row>
    <row r="23" spans="1:4">
      <c r="A23" s="7" t="s">
        <v>86</v>
      </c>
      <c r="B23" s="5">
        <v>11</v>
      </c>
      <c r="C23" s="5" t="s">
        <v>87</v>
      </c>
      <c r="D23" t="s">
        <v>88</v>
      </c>
    </row>
    <row r="24" spans="1:4" ht="60.75">
      <c r="A24" s="7" t="s">
        <v>89</v>
      </c>
      <c r="B24" s="5">
        <v>19</v>
      </c>
      <c r="C24" s="5" t="s">
        <v>90</v>
      </c>
      <c r="D24" s="2" t="s">
        <v>91</v>
      </c>
    </row>
    <row r="25" spans="1:4">
      <c r="A25" s="7" t="s">
        <v>92</v>
      </c>
      <c r="B25" s="5">
        <v>2</v>
      </c>
      <c r="C25" s="5" t="s">
        <v>93</v>
      </c>
    </row>
    <row r="26" spans="1:4">
      <c r="A26" s="7" t="s">
        <v>94</v>
      </c>
      <c r="B26" s="5">
        <v>20</v>
      </c>
      <c r="C26" s="5" t="s">
        <v>95</v>
      </c>
      <c r="D26" t="s">
        <v>96</v>
      </c>
    </row>
    <row r="27" spans="1:4">
      <c r="A27" s="7" t="s">
        <v>97</v>
      </c>
      <c r="B27" s="5">
        <v>2</v>
      </c>
      <c r="C27" s="5" t="s">
        <v>98</v>
      </c>
    </row>
    <row r="28" spans="1:4" ht="30.75">
      <c r="A28" s="16" t="s">
        <v>99</v>
      </c>
      <c r="B28" s="5">
        <v>50</v>
      </c>
      <c r="C28" s="5" t="s">
        <v>100</v>
      </c>
      <c r="D28" t="s">
        <v>101</v>
      </c>
    </row>
    <row r="29" spans="1:4">
      <c r="A29" s="7" t="s">
        <v>102</v>
      </c>
      <c r="B29" s="5">
        <v>2</v>
      </c>
      <c r="C29" s="5" t="s">
        <v>103</v>
      </c>
    </row>
    <row r="30" spans="1:4">
      <c r="A30" s="7" t="s">
        <v>104</v>
      </c>
      <c r="B30" s="5">
        <v>9</v>
      </c>
      <c r="C30" s="5" t="s">
        <v>105</v>
      </c>
      <c r="D30" t="s">
        <v>106</v>
      </c>
    </row>
    <row r="31" spans="1:4">
      <c r="A31" s="12" t="s">
        <v>107</v>
      </c>
      <c r="B31" s="5">
        <v>6</v>
      </c>
      <c r="C31" s="5" t="s">
        <v>108</v>
      </c>
      <c r="D31" t="s">
        <v>109</v>
      </c>
    </row>
    <row r="32" spans="1:4">
      <c r="A32" s="10" t="s">
        <v>17</v>
      </c>
      <c r="B32" s="11">
        <f>SUM(B6:B31)</f>
        <v>309</v>
      </c>
      <c r="C32" s="5"/>
    </row>
    <row r="39" spans="1:10" ht="13.9">
      <c r="A39" s="27" t="s">
        <v>18</v>
      </c>
      <c r="B39" s="27"/>
      <c r="C39" s="27"/>
      <c r="D39" s="27"/>
    </row>
    <row r="40" spans="1:10" ht="13.9" customHeight="1">
      <c r="A40" s="28" t="s">
        <v>43</v>
      </c>
      <c r="B40" s="26" t="s">
        <v>110</v>
      </c>
      <c r="C40" s="26"/>
      <c r="D40" s="26"/>
      <c r="E40" s="26"/>
      <c r="F40" s="26"/>
      <c r="G40" s="26"/>
      <c r="H40" s="26"/>
      <c r="I40" s="26"/>
      <c r="J40" s="26"/>
    </row>
    <row r="41" spans="1:10" ht="15" customHeight="1">
      <c r="A41" s="28"/>
      <c r="B41" s="26"/>
      <c r="C41" s="26"/>
      <c r="D41" s="26"/>
      <c r="E41" s="26"/>
      <c r="F41" s="26"/>
      <c r="G41" s="26"/>
      <c r="H41" s="26"/>
      <c r="I41" s="26"/>
      <c r="J41" s="26"/>
    </row>
    <row r="42" spans="1:10" ht="13.9">
      <c r="A42" s="28"/>
      <c r="B42" s="26"/>
      <c r="C42" s="26"/>
      <c r="D42" s="26"/>
      <c r="E42" s="26"/>
      <c r="F42" s="26"/>
      <c r="G42" s="26"/>
      <c r="H42" s="26"/>
      <c r="I42" s="26"/>
      <c r="J42" s="26"/>
    </row>
    <row r="43" spans="1:10" ht="13.9">
      <c r="A43" s="6" t="s">
        <v>3</v>
      </c>
      <c r="B43" s="6" t="s">
        <v>4</v>
      </c>
      <c r="C43" s="6" t="s">
        <v>5</v>
      </c>
      <c r="D43" s="6" t="s">
        <v>6</v>
      </c>
    </row>
    <row r="44" spans="1:10" ht="13.9">
      <c r="A44" s="5" t="s">
        <v>45</v>
      </c>
      <c r="B44" s="5">
        <v>4</v>
      </c>
      <c r="C44" s="5" t="s">
        <v>46</v>
      </c>
      <c r="D44" s="28" t="s">
        <v>9</v>
      </c>
    </row>
    <row r="45" spans="1:10" ht="13.9">
      <c r="A45" s="7" t="s">
        <v>111</v>
      </c>
      <c r="B45" s="5">
        <v>5</v>
      </c>
      <c r="C45" s="5" t="s">
        <v>11</v>
      </c>
      <c r="D45" s="28"/>
    </row>
    <row r="46" spans="1:10" ht="13.9">
      <c r="A46" s="7"/>
      <c r="B46" s="5">
        <v>1</v>
      </c>
      <c r="C46" s="5" t="s">
        <v>12</v>
      </c>
    </row>
    <row r="47" spans="1:10" ht="13.9">
      <c r="A47" s="7" t="s">
        <v>112</v>
      </c>
      <c r="B47" s="5">
        <v>4</v>
      </c>
      <c r="C47" s="5" t="s">
        <v>113</v>
      </c>
      <c r="D47" t="s">
        <v>114</v>
      </c>
    </row>
    <row r="48" spans="1:10" ht="13.9">
      <c r="A48" s="7" t="s">
        <v>115</v>
      </c>
      <c r="B48" s="5">
        <v>1</v>
      </c>
      <c r="C48" s="5" t="s">
        <v>116</v>
      </c>
      <c r="D48" t="s">
        <v>117</v>
      </c>
    </row>
    <row r="49" spans="1:4">
      <c r="A49" s="7" t="s">
        <v>118</v>
      </c>
      <c r="B49" s="5">
        <v>10</v>
      </c>
      <c r="C49" s="5" t="s">
        <v>119</v>
      </c>
      <c r="D49" t="s">
        <v>120</v>
      </c>
    </row>
    <row r="50" spans="1:4">
      <c r="A50" s="7" t="s">
        <v>121</v>
      </c>
      <c r="B50" s="5">
        <v>2</v>
      </c>
      <c r="C50" s="5" t="s">
        <v>64</v>
      </c>
    </row>
    <row r="51" spans="1:4" ht="30.75">
      <c r="A51" s="7" t="s">
        <v>122</v>
      </c>
      <c r="B51" s="5">
        <v>28</v>
      </c>
      <c r="C51" s="5" t="s">
        <v>67</v>
      </c>
      <c r="D51" s="2" t="s">
        <v>123</v>
      </c>
    </row>
    <row r="52" spans="1:4">
      <c r="A52" s="7" t="s">
        <v>124</v>
      </c>
      <c r="B52" s="5">
        <v>8</v>
      </c>
      <c r="C52" s="5" t="s">
        <v>125</v>
      </c>
      <c r="D52" t="s">
        <v>126</v>
      </c>
    </row>
    <row r="53" spans="1:4">
      <c r="A53" s="5">
        <v>2018</v>
      </c>
      <c r="B53" s="5">
        <v>4</v>
      </c>
      <c r="C53" s="5" t="s">
        <v>127</v>
      </c>
      <c r="D53" t="s">
        <v>128</v>
      </c>
    </row>
    <row r="54" spans="1:4">
      <c r="A54" s="7" t="s">
        <v>118</v>
      </c>
      <c r="B54" s="5">
        <v>10</v>
      </c>
      <c r="C54" s="5" t="s">
        <v>129</v>
      </c>
      <c r="D54" t="s">
        <v>130</v>
      </c>
    </row>
    <row r="55" spans="1:4">
      <c r="A55" s="7" t="s">
        <v>131</v>
      </c>
      <c r="B55" s="5">
        <v>4</v>
      </c>
      <c r="C55" s="5" t="s">
        <v>132</v>
      </c>
      <c r="D55" t="s">
        <v>133</v>
      </c>
    </row>
    <row r="56" spans="1:4">
      <c r="A56" s="7" t="s">
        <v>134</v>
      </c>
      <c r="B56" s="5">
        <v>10</v>
      </c>
      <c r="C56" s="5" t="s">
        <v>135</v>
      </c>
      <c r="D56" t="s">
        <v>136</v>
      </c>
    </row>
    <row r="57" spans="1:4">
      <c r="A57" s="7" t="s">
        <v>131</v>
      </c>
      <c r="B57" s="5">
        <v>4</v>
      </c>
      <c r="C57" s="5" t="s">
        <v>137</v>
      </c>
      <c r="D57" t="s">
        <v>138</v>
      </c>
    </row>
    <row r="58" spans="1:4">
      <c r="A58" s="7" t="s">
        <v>139</v>
      </c>
      <c r="B58" s="5">
        <v>10</v>
      </c>
      <c r="C58" s="5" t="s">
        <v>140</v>
      </c>
      <c r="D58" t="s">
        <v>141</v>
      </c>
    </row>
    <row r="59" spans="1:4">
      <c r="A59" s="7" t="s">
        <v>131</v>
      </c>
      <c r="B59" s="5">
        <v>4</v>
      </c>
      <c r="C59" s="5" t="s">
        <v>142</v>
      </c>
      <c r="D59" t="s">
        <v>143</v>
      </c>
    </row>
    <row r="60" spans="1:4">
      <c r="A60" s="7" t="s">
        <v>139</v>
      </c>
      <c r="B60" s="5">
        <v>10</v>
      </c>
      <c r="C60" s="5" t="s">
        <v>144</v>
      </c>
      <c r="D60" t="s">
        <v>145</v>
      </c>
    </row>
    <row r="61" spans="1:4">
      <c r="A61" s="7" t="s">
        <v>131</v>
      </c>
      <c r="B61" s="5">
        <v>4</v>
      </c>
      <c r="C61" s="5" t="s">
        <v>146</v>
      </c>
      <c r="D61" t="s">
        <v>147</v>
      </c>
    </row>
    <row r="62" spans="1:4">
      <c r="A62" s="7" t="s">
        <v>139</v>
      </c>
      <c r="B62" s="5">
        <v>10</v>
      </c>
      <c r="C62" s="5" t="s">
        <v>148</v>
      </c>
      <c r="D62" t="s">
        <v>149</v>
      </c>
    </row>
    <row r="63" spans="1:4">
      <c r="A63" s="7" t="s">
        <v>131</v>
      </c>
      <c r="B63" s="5">
        <v>4</v>
      </c>
      <c r="C63" s="5" t="s">
        <v>150</v>
      </c>
      <c r="D63" t="s">
        <v>151</v>
      </c>
    </row>
    <row r="64" spans="1:4">
      <c r="A64" s="7" t="s">
        <v>139</v>
      </c>
      <c r="B64" s="5">
        <v>10</v>
      </c>
      <c r="C64" s="5" t="s">
        <v>152</v>
      </c>
      <c r="D64" t="s">
        <v>153</v>
      </c>
    </row>
    <row r="65" spans="1:4">
      <c r="A65" s="7" t="s">
        <v>131</v>
      </c>
      <c r="B65" s="5">
        <v>4</v>
      </c>
      <c r="C65" s="5" t="s">
        <v>154</v>
      </c>
      <c r="D65" t="s">
        <v>155</v>
      </c>
    </row>
    <row r="66" spans="1:4">
      <c r="A66" s="7" t="s">
        <v>139</v>
      </c>
      <c r="B66" s="5">
        <v>10</v>
      </c>
      <c r="C66" s="5" t="s">
        <v>156</v>
      </c>
      <c r="D66" t="s">
        <v>157</v>
      </c>
    </row>
    <row r="67" spans="1:4">
      <c r="A67" s="7" t="s">
        <v>131</v>
      </c>
      <c r="B67" s="5">
        <v>4</v>
      </c>
      <c r="C67" s="5" t="s">
        <v>158</v>
      </c>
      <c r="D67" t="s">
        <v>159</v>
      </c>
    </row>
    <row r="68" spans="1:4">
      <c r="A68" s="7" t="s">
        <v>139</v>
      </c>
      <c r="B68" s="5">
        <v>10</v>
      </c>
      <c r="C68" s="5" t="s">
        <v>160</v>
      </c>
      <c r="D68" t="s">
        <v>161</v>
      </c>
    </row>
    <row r="69" spans="1:4">
      <c r="A69" s="7" t="s">
        <v>131</v>
      </c>
      <c r="B69" s="5">
        <v>4</v>
      </c>
      <c r="C69" s="5" t="s">
        <v>162</v>
      </c>
      <c r="D69" t="s">
        <v>163</v>
      </c>
    </row>
    <row r="70" spans="1:4">
      <c r="A70" s="7" t="s">
        <v>139</v>
      </c>
      <c r="B70" s="5">
        <v>10</v>
      </c>
      <c r="C70" s="5" t="s">
        <v>164</v>
      </c>
      <c r="D70" t="s">
        <v>165</v>
      </c>
    </row>
    <row r="71" spans="1:4">
      <c r="A71" s="7" t="s">
        <v>131</v>
      </c>
      <c r="B71" s="5">
        <v>4</v>
      </c>
      <c r="C71" s="5" t="s">
        <v>166</v>
      </c>
      <c r="D71" t="s">
        <v>167</v>
      </c>
    </row>
    <row r="72" spans="1:4">
      <c r="A72" s="7" t="s">
        <v>139</v>
      </c>
      <c r="B72" s="5">
        <v>10</v>
      </c>
      <c r="C72" s="5" t="s">
        <v>168</v>
      </c>
      <c r="D72" t="s">
        <v>169</v>
      </c>
    </row>
    <row r="73" spans="1:4">
      <c r="A73" s="7" t="s">
        <v>131</v>
      </c>
      <c r="B73" s="5">
        <v>4</v>
      </c>
      <c r="C73" s="5" t="s">
        <v>170</v>
      </c>
      <c r="D73" t="s">
        <v>171</v>
      </c>
    </row>
    <row r="74" spans="1:4" ht="13.9">
      <c r="A74" s="7" t="s">
        <v>139</v>
      </c>
      <c r="B74" s="5">
        <v>10</v>
      </c>
      <c r="C74" s="5" t="s">
        <v>172</v>
      </c>
      <c r="D74" t="s">
        <v>173</v>
      </c>
    </row>
    <row r="75" spans="1:4" ht="13.9">
      <c r="A75" s="7" t="s">
        <v>131</v>
      </c>
      <c r="B75" s="5">
        <v>4</v>
      </c>
      <c r="C75" s="5" t="s">
        <v>174</v>
      </c>
      <c r="D75" t="s">
        <v>175</v>
      </c>
    </row>
    <row r="76" spans="1:4" ht="13.9">
      <c r="A76" s="7" t="s">
        <v>139</v>
      </c>
      <c r="B76" s="5">
        <v>10</v>
      </c>
      <c r="C76" s="5" t="s">
        <v>176</v>
      </c>
      <c r="D76" t="s">
        <v>177</v>
      </c>
    </row>
    <row r="77" spans="1:4" ht="13.9">
      <c r="A77" s="12" t="s">
        <v>178</v>
      </c>
      <c r="B77" s="5">
        <v>2</v>
      </c>
      <c r="C77" s="5" t="s">
        <v>179</v>
      </c>
      <c r="D77" t="s">
        <v>180</v>
      </c>
    </row>
    <row r="78" spans="1:4" ht="13.9">
      <c r="A78" s="10" t="s">
        <v>17</v>
      </c>
      <c r="B78" s="11">
        <f>SUM(B44:B77)</f>
        <v>233</v>
      </c>
      <c r="C78" s="5"/>
    </row>
    <row r="86" spans="1:10" ht="13.9">
      <c r="A86" s="27" t="s">
        <v>24</v>
      </c>
      <c r="B86" s="27"/>
      <c r="C86" s="27"/>
      <c r="D86" s="27"/>
    </row>
    <row r="87" spans="1:10" ht="13.9" customHeight="1">
      <c r="A87" s="28" t="s">
        <v>43</v>
      </c>
      <c r="B87" s="26" t="s">
        <v>181</v>
      </c>
      <c r="C87" s="26"/>
      <c r="D87" s="26"/>
      <c r="E87" s="26"/>
      <c r="F87" s="26"/>
      <c r="G87" s="26"/>
      <c r="H87" s="26"/>
      <c r="I87" s="26"/>
      <c r="J87" s="26"/>
    </row>
    <row r="88" spans="1:10" ht="15" customHeight="1">
      <c r="A88" s="28"/>
      <c r="B88" s="26"/>
      <c r="C88" s="26"/>
      <c r="D88" s="26"/>
      <c r="E88" s="26"/>
      <c r="F88" s="26"/>
      <c r="G88" s="26"/>
      <c r="H88" s="26"/>
      <c r="I88" s="26"/>
      <c r="J88" s="26"/>
    </row>
    <row r="89" spans="1:10" ht="45.75" customHeight="1">
      <c r="A89" s="28"/>
      <c r="B89" s="26"/>
      <c r="C89" s="26"/>
      <c r="D89" s="26"/>
      <c r="E89" s="26"/>
      <c r="F89" s="26"/>
      <c r="G89" s="26"/>
      <c r="H89" s="26"/>
      <c r="I89" s="26"/>
      <c r="J89" s="26"/>
    </row>
    <row r="90" spans="1:10" ht="13.9">
      <c r="A90" s="6" t="s">
        <v>3</v>
      </c>
      <c r="B90" s="6" t="s">
        <v>4</v>
      </c>
      <c r="C90" s="6" t="s">
        <v>5</v>
      </c>
      <c r="D90" s="6" t="s">
        <v>6</v>
      </c>
    </row>
    <row r="91" spans="1:10" ht="13.9">
      <c r="A91" s="5" t="s">
        <v>45</v>
      </c>
      <c r="B91" s="5">
        <v>4</v>
      </c>
      <c r="C91" s="5" t="s">
        <v>46</v>
      </c>
      <c r="D91" s="28" t="s">
        <v>9</v>
      </c>
    </row>
    <row r="92" spans="1:10" ht="13.9">
      <c r="A92" s="7" t="s">
        <v>182</v>
      </c>
      <c r="B92" s="5">
        <v>5</v>
      </c>
      <c r="C92" s="5" t="s">
        <v>11</v>
      </c>
      <c r="D92" s="28"/>
    </row>
    <row r="93" spans="1:10" ht="13.9">
      <c r="A93" s="7"/>
      <c r="B93" s="5">
        <v>1</v>
      </c>
      <c r="C93" s="5" t="s">
        <v>12</v>
      </c>
    </row>
    <row r="94" spans="1:10" ht="13.9">
      <c r="A94" s="7" t="s">
        <v>183</v>
      </c>
      <c r="B94" s="5">
        <v>4</v>
      </c>
      <c r="C94" s="5" t="s">
        <v>184</v>
      </c>
      <c r="D94" t="s">
        <v>185</v>
      </c>
    </row>
    <row r="95" spans="1:10" ht="13.9">
      <c r="A95" s="7" t="s">
        <v>186</v>
      </c>
      <c r="B95" s="5">
        <v>10</v>
      </c>
      <c r="C95" s="5" t="s">
        <v>187</v>
      </c>
      <c r="D95" t="s">
        <v>188</v>
      </c>
    </row>
    <row r="96" spans="1:10" ht="13.9">
      <c r="A96" s="7" t="s">
        <v>189</v>
      </c>
      <c r="B96" s="5">
        <v>2</v>
      </c>
      <c r="C96" s="5" t="s">
        <v>64</v>
      </c>
    </row>
    <row r="97" spans="1:10">
      <c r="A97" s="7" t="s">
        <v>190</v>
      </c>
      <c r="B97" s="5">
        <v>31</v>
      </c>
      <c r="C97" s="5" t="s">
        <v>67</v>
      </c>
      <c r="D97" t="s">
        <v>191</v>
      </c>
    </row>
    <row r="98" spans="1:10" ht="121.5">
      <c r="A98" s="17" t="s">
        <v>192</v>
      </c>
      <c r="B98" s="5">
        <v>336</v>
      </c>
      <c r="C98" s="5" t="s">
        <v>193</v>
      </c>
      <c r="D98" t="s">
        <v>194</v>
      </c>
    </row>
    <row r="99" spans="1:10" ht="13.9">
      <c r="A99" s="12" t="s">
        <v>195</v>
      </c>
      <c r="B99" s="5">
        <v>2</v>
      </c>
      <c r="C99" s="5" t="s">
        <v>196</v>
      </c>
      <c r="D99" t="s">
        <v>197</v>
      </c>
    </row>
    <row r="100" spans="1:10" ht="13.9">
      <c r="A100" s="10" t="s">
        <v>17</v>
      </c>
      <c r="B100" s="11">
        <f>SUM(B91:B99)</f>
        <v>395</v>
      </c>
      <c r="C100" s="5"/>
    </row>
    <row r="108" spans="1:10" ht="13.9">
      <c r="A108" s="27" t="s">
        <v>36</v>
      </c>
      <c r="B108" s="27"/>
      <c r="C108" s="27"/>
      <c r="D108" s="27"/>
    </row>
    <row r="109" spans="1:10" ht="13.9" customHeight="1">
      <c r="A109" s="28" t="s">
        <v>43</v>
      </c>
      <c r="B109" s="26" t="s">
        <v>198</v>
      </c>
      <c r="C109" s="26"/>
      <c r="D109" s="26"/>
      <c r="E109" s="26"/>
      <c r="F109" s="26"/>
      <c r="G109" s="26"/>
      <c r="H109" s="26"/>
      <c r="I109" s="26"/>
      <c r="J109" s="26"/>
    </row>
    <row r="110" spans="1:10" ht="15" customHeight="1">
      <c r="A110" s="28"/>
      <c r="B110" s="26"/>
      <c r="C110" s="26"/>
      <c r="D110" s="26"/>
      <c r="E110" s="26"/>
      <c r="F110" s="26"/>
      <c r="G110" s="26"/>
      <c r="H110" s="26"/>
      <c r="I110" s="26"/>
      <c r="J110" s="26"/>
    </row>
    <row r="111" spans="1:10" ht="35.25" customHeight="1">
      <c r="A111" s="28"/>
      <c r="B111" s="26"/>
      <c r="C111" s="26"/>
      <c r="D111" s="26"/>
      <c r="E111" s="26"/>
      <c r="F111" s="26"/>
      <c r="G111" s="26"/>
      <c r="H111" s="26"/>
      <c r="I111" s="26"/>
      <c r="J111" s="26"/>
    </row>
    <row r="112" spans="1:10" ht="13.9">
      <c r="A112" s="6" t="s">
        <v>3</v>
      </c>
      <c r="B112" s="6" t="s">
        <v>4</v>
      </c>
      <c r="C112" s="6" t="s">
        <v>5</v>
      </c>
      <c r="D112" s="6" t="s">
        <v>6</v>
      </c>
    </row>
    <row r="113" spans="1:4" ht="13.9">
      <c r="A113" s="5" t="s">
        <v>45</v>
      </c>
      <c r="B113" s="5">
        <v>4</v>
      </c>
      <c r="C113" s="5" t="s">
        <v>46</v>
      </c>
      <c r="D113" s="28" t="s">
        <v>9</v>
      </c>
    </row>
    <row r="114" spans="1:4" ht="13.9">
      <c r="A114" s="7" t="s">
        <v>199</v>
      </c>
      <c r="B114" s="5">
        <v>5</v>
      </c>
      <c r="C114" s="5" t="s">
        <v>11</v>
      </c>
      <c r="D114" s="28"/>
    </row>
    <row r="115" spans="1:4" ht="13.9">
      <c r="A115" s="7"/>
      <c r="B115" s="5">
        <v>1</v>
      </c>
      <c r="C115" s="5" t="s">
        <v>12</v>
      </c>
    </row>
    <row r="116" spans="1:4">
      <c r="A116" s="7" t="s">
        <v>200</v>
      </c>
      <c r="B116" s="5">
        <v>10</v>
      </c>
      <c r="C116" s="5" t="s">
        <v>201</v>
      </c>
      <c r="D116" t="s">
        <v>202</v>
      </c>
    </row>
    <row r="117" spans="1:4" ht="13.9">
      <c r="A117" s="7" t="s">
        <v>203</v>
      </c>
      <c r="B117" s="5">
        <v>3</v>
      </c>
      <c r="C117" s="5" t="s">
        <v>204</v>
      </c>
      <c r="D117" t="s">
        <v>205</v>
      </c>
    </row>
    <row r="118" spans="1:4" ht="13.9">
      <c r="A118" s="7" t="s">
        <v>189</v>
      </c>
      <c r="B118" s="5">
        <v>2</v>
      </c>
      <c r="C118" s="5" t="s">
        <v>206</v>
      </c>
    </row>
    <row r="119" spans="1:4" ht="13.9">
      <c r="A119" s="7" t="s">
        <v>207</v>
      </c>
      <c r="B119" s="5">
        <v>31</v>
      </c>
      <c r="C119" s="5" t="s">
        <v>208</v>
      </c>
      <c r="D119" t="s">
        <v>209</v>
      </c>
    </row>
    <row r="120" spans="1:4">
      <c r="A120" s="18" t="s">
        <v>178</v>
      </c>
      <c r="B120" s="5">
        <v>2</v>
      </c>
      <c r="C120" s="5" t="s">
        <v>210</v>
      </c>
    </row>
    <row r="121" spans="1:4">
      <c r="A121" s="7"/>
      <c r="B121" s="5">
        <v>0</v>
      </c>
      <c r="C121" s="5" t="s">
        <v>211</v>
      </c>
      <c r="D121" t="s">
        <v>212</v>
      </c>
    </row>
    <row r="122" spans="1:4">
      <c r="A122" s="7" t="s">
        <v>213</v>
      </c>
      <c r="B122" s="5">
        <v>2</v>
      </c>
      <c r="C122" s="5" t="s">
        <v>214</v>
      </c>
    </row>
    <row r="123" spans="1:4">
      <c r="A123" s="7" t="s">
        <v>215</v>
      </c>
      <c r="B123" s="5">
        <v>23</v>
      </c>
      <c r="C123" s="5" t="s">
        <v>216</v>
      </c>
      <c r="D123" t="s">
        <v>217</v>
      </c>
    </row>
    <row r="124" spans="1:4">
      <c r="A124" s="7" t="s">
        <v>218</v>
      </c>
      <c r="B124" s="5">
        <v>2</v>
      </c>
      <c r="C124" s="5" t="s">
        <v>219</v>
      </c>
    </row>
    <row r="125" spans="1:4">
      <c r="A125" s="7" t="s">
        <v>220</v>
      </c>
      <c r="B125" s="5">
        <v>8</v>
      </c>
      <c r="C125" s="5" t="s">
        <v>221</v>
      </c>
      <c r="D125" t="s">
        <v>222</v>
      </c>
    </row>
    <row r="126" spans="1:4" ht="137.25">
      <c r="A126" s="17" t="s">
        <v>223</v>
      </c>
      <c r="B126" s="5">
        <v>348</v>
      </c>
      <c r="C126" s="5" t="s">
        <v>193</v>
      </c>
      <c r="D126" t="s">
        <v>194</v>
      </c>
    </row>
    <row r="127" spans="1:4" ht="13.9">
      <c r="A127" s="10" t="s">
        <v>17</v>
      </c>
      <c r="B127" s="11">
        <f>SUM(B113:B126)</f>
        <v>441</v>
      </c>
      <c r="C127" s="5"/>
    </row>
    <row r="133" spans="1:1">
      <c r="A133" s="23" t="s">
        <v>224</v>
      </c>
    </row>
    <row r="134" spans="1:1">
      <c r="A134" s="23" t="s">
        <v>225</v>
      </c>
    </row>
    <row r="139" spans="1:1" ht="275.25">
      <c r="A139" s="2" t="s">
        <v>226</v>
      </c>
    </row>
  </sheetData>
  <mergeCells count="16">
    <mergeCell ref="A1:D1"/>
    <mergeCell ref="A2:A4"/>
    <mergeCell ref="B2:J4"/>
    <mergeCell ref="D6:D7"/>
    <mergeCell ref="A39:D39"/>
    <mergeCell ref="A40:A42"/>
    <mergeCell ref="B40:J42"/>
    <mergeCell ref="D44:D45"/>
    <mergeCell ref="A86:D86"/>
    <mergeCell ref="A87:A89"/>
    <mergeCell ref="B87:J89"/>
    <mergeCell ref="D91:D92"/>
    <mergeCell ref="A108:D108"/>
    <mergeCell ref="A109:A111"/>
    <mergeCell ref="B109:J111"/>
    <mergeCell ref="D113:D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"/>
  <sheetViews>
    <sheetView zoomScaleNormal="100" workbookViewId="0">
      <selection activeCell="C8" sqref="C8"/>
    </sheetView>
  </sheetViews>
  <sheetFormatPr defaultColWidth="8" defaultRowHeight="15"/>
  <cols>
    <col min="1" max="1" width="32" customWidth="1"/>
    <col min="2" max="2" width="8.140625" customWidth="1"/>
    <col min="3" max="3" width="58.42578125" customWidth="1"/>
    <col min="4" max="4" width="33.28515625" customWidth="1"/>
  </cols>
  <sheetData>
    <row r="1" spans="1:10">
      <c r="A1" s="27" t="s">
        <v>0</v>
      </c>
      <c r="B1" s="27"/>
      <c r="C1" s="27"/>
      <c r="D1" s="27"/>
    </row>
    <row r="2" spans="1:10">
      <c r="A2" t="s">
        <v>1</v>
      </c>
      <c r="B2" s="25" t="s">
        <v>2</v>
      </c>
      <c r="C2" s="25"/>
      <c r="D2" s="25"/>
      <c r="E2" s="25"/>
      <c r="F2" s="25"/>
      <c r="G2" s="25"/>
      <c r="H2" s="25"/>
      <c r="I2" s="25"/>
      <c r="J2" s="25"/>
    </row>
    <row r="3" spans="1:10">
      <c r="A3" s="6" t="s">
        <v>3</v>
      </c>
      <c r="B3" s="6" t="s">
        <v>4</v>
      </c>
      <c r="C3" s="6" t="s">
        <v>5</v>
      </c>
      <c r="D3" s="6" t="s">
        <v>6</v>
      </c>
    </row>
    <row r="4" spans="1:10">
      <c r="A4" s="5" t="s">
        <v>7</v>
      </c>
      <c r="B4" s="5">
        <v>4</v>
      </c>
      <c r="C4" s="5" t="s">
        <v>8</v>
      </c>
      <c r="D4" s="28" t="s">
        <v>9</v>
      </c>
    </row>
    <row r="5" spans="1:10">
      <c r="A5" s="7" t="s">
        <v>10</v>
      </c>
      <c r="B5" s="5">
        <v>5</v>
      </c>
      <c r="C5" s="5" t="s">
        <v>11</v>
      </c>
      <c r="D5" s="28"/>
    </row>
    <row r="6" spans="1:10">
      <c r="A6" s="7"/>
      <c r="B6" s="5">
        <v>1</v>
      </c>
      <c r="C6" s="5" t="s">
        <v>12</v>
      </c>
    </row>
    <row r="7" spans="1:10">
      <c r="A7" s="13" t="s">
        <v>227</v>
      </c>
      <c r="B7" s="4">
        <v>8</v>
      </c>
      <c r="C7" s="5" t="s">
        <v>14</v>
      </c>
    </row>
    <row r="8" spans="1:10">
      <c r="A8" s="12" t="s">
        <v>15</v>
      </c>
      <c r="B8" s="4">
        <v>9</v>
      </c>
      <c r="C8" s="5" t="s">
        <v>16</v>
      </c>
    </row>
    <row r="9" spans="1:10">
      <c r="A9" s="10" t="s">
        <v>17</v>
      </c>
      <c r="B9" s="11">
        <f>SUM(B4:B8)</f>
        <v>27</v>
      </c>
      <c r="C9" s="5"/>
    </row>
    <row r="14" spans="1:10" ht="13.9">
      <c r="A14" s="27" t="s">
        <v>18</v>
      </c>
      <c r="B14" s="27"/>
      <c r="C14" s="27"/>
      <c r="D14" s="27"/>
    </row>
    <row r="15" spans="1:10" ht="13.9">
      <c r="A15" t="s">
        <v>1</v>
      </c>
      <c r="B15" s="25" t="s">
        <v>228</v>
      </c>
      <c r="C15" s="25"/>
      <c r="D15" s="25"/>
      <c r="E15" s="25"/>
      <c r="F15" s="25"/>
      <c r="G15" s="25"/>
      <c r="H15" s="25"/>
      <c r="I15" s="25"/>
      <c r="J15" s="25"/>
    </row>
    <row r="16" spans="1:10" ht="13.9">
      <c r="A16" s="6" t="s">
        <v>3</v>
      </c>
      <c r="B16" s="6" t="s">
        <v>4</v>
      </c>
      <c r="C16" s="6" t="s">
        <v>5</v>
      </c>
      <c r="D16" s="6" t="s">
        <v>6</v>
      </c>
    </row>
    <row r="17" spans="1:10" ht="13.9">
      <c r="A17" s="5" t="s">
        <v>7</v>
      </c>
      <c r="B17" s="5">
        <v>4</v>
      </c>
      <c r="C17" s="5" t="s">
        <v>8</v>
      </c>
      <c r="D17" s="28" t="s">
        <v>9</v>
      </c>
    </row>
    <row r="18" spans="1:10" ht="13.9">
      <c r="A18" s="7" t="s">
        <v>29</v>
      </c>
      <c r="B18" s="5">
        <v>5</v>
      </c>
      <c r="C18" s="5" t="s">
        <v>11</v>
      </c>
      <c r="D18" s="28"/>
    </row>
    <row r="19" spans="1:10" ht="13.9">
      <c r="A19" s="7"/>
      <c r="B19" s="5">
        <v>1</v>
      </c>
      <c r="C19" s="5" t="s">
        <v>12</v>
      </c>
    </row>
    <row r="20" spans="1:10">
      <c r="A20" s="13" t="s">
        <v>39</v>
      </c>
      <c r="B20" s="4">
        <v>1</v>
      </c>
      <c r="C20" s="5" t="s">
        <v>22</v>
      </c>
    </row>
    <row r="21" spans="1:10">
      <c r="A21" s="13" t="s">
        <v>229</v>
      </c>
      <c r="B21" s="4">
        <v>4</v>
      </c>
      <c r="C21" s="5" t="s">
        <v>113</v>
      </c>
    </row>
    <row r="22" spans="1:10">
      <c r="A22" s="13" t="s">
        <v>115</v>
      </c>
      <c r="B22" s="4">
        <v>1</v>
      </c>
      <c r="C22" s="5" t="s">
        <v>116</v>
      </c>
    </row>
    <row r="23" spans="1:10">
      <c r="A23" s="13" t="s">
        <v>34</v>
      </c>
      <c r="B23" s="4">
        <v>8</v>
      </c>
      <c r="C23" s="5" t="s">
        <v>14</v>
      </c>
    </row>
    <row r="24" spans="1:10" ht="13.9">
      <c r="A24" s="12" t="s">
        <v>230</v>
      </c>
      <c r="B24" s="4">
        <v>9</v>
      </c>
      <c r="C24" s="5" t="s">
        <v>16</v>
      </c>
    </row>
    <row r="25" spans="1:10" ht="13.9">
      <c r="A25" s="10" t="s">
        <v>17</v>
      </c>
      <c r="B25" s="11">
        <f>SUM(B17:B24)</f>
        <v>33</v>
      </c>
      <c r="C25" s="5"/>
    </row>
    <row r="30" spans="1:10" ht="13.9">
      <c r="A30" s="27" t="s">
        <v>24</v>
      </c>
      <c r="B30" s="27"/>
      <c r="C30" s="27"/>
      <c r="D30" s="27"/>
    </row>
    <row r="31" spans="1:10" ht="22.5" customHeight="1">
      <c r="A31" t="s">
        <v>1</v>
      </c>
      <c r="B31" s="24" t="s">
        <v>231</v>
      </c>
      <c r="C31" s="24"/>
      <c r="D31" s="24"/>
      <c r="E31" s="24"/>
      <c r="F31" s="24"/>
      <c r="G31" s="24"/>
      <c r="H31" s="24"/>
      <c r="I31" s="24"/>
      <c r="J31" s="24"/>
    </row>
    <row r="32" spans="1:10" ht="13.9">
      <c r="A32" s="6" t="s">
        <v>3</v>
      </c>
      <c r="B32" s="6" t="s">
        <v>4</v>
      </c>
      <c r="C32" s="6" t="s">
        <v>5</v>
      </c>
      <c r="D32" s="6" t="s">
        <v>6</v>
      </c>
    </row>
    <row r="33" spans="1:4" ht="13.9">
      <c r="A33" s="5" t="s">
        <v>7</v>
      </c>
      <c r="B33" s="5">
        <v>4</v>
      </c>
      <c r="C33" s="5" t="s">
        <v>8</v>
      </c>
      <c r="D33" s="28" t="s">
        <v>9</v>
      </c>
    </row>
    <row r="34" spans="1:4" ht="13.9">
      <c r="A34" s="7" t="s">
        <v>232</v>
      </c>
      <c r="B34" s="5">
        <v>5</v>
      </c>
      <c r="C34" s="5" t="s">
        <v>11</v>
      </c>
      <c r="D34" s="28"/>
    </row>
    <row r="35" spans="1:4" ht="13.9">
      <c r="A35" s="7"/>
      <c r="B35" s="5">
        <v>1</v>
      </c>
      <c r="C35" s="5" t="s">
        <v>12</v>
      </c>
    </row>
    <row r="36" spans="1:4">
      <c r="A36" s="13" t="s">
        <v>27</v>
      </c>
      <c r="B36" s="4">
        <v>3</v>
      </c>
      <c r="C36" s="5" t="s">
        <v>28</v>
      </c>
    </row>
    <row r="37" spans="1:4">
      <c r="A37" s="13" t="s">
        <v>29</v>
      </c>
      <c r="B37" s="4">
        <v>5</v>
      </c>
      <c r="C37" s="5" t="s">
        <v>30</v>
      </c>
    </row>
    <row r="38" spans="1:4">
      <c r="A38" s="13" t="s">
        <v>39</v>
      </c>
      <c r="B38" s="4">
        <v>1</v>
      </c>
      <c r="C38" s="5" t="s">
        <v>22</v>
      </c>
    </row>
    <row r="39" spans="1:4">
      <c r="A39" s="13" t="s">
        <v>32</v>
      </c>
      <c r="B39" s="4">
        <v>10</v>
      </c>
      <c r="C39" s="5" t="s">
        <v>33</v>
      </c>
    </row>
    <row r="40" spans="1:4">
      <c r="A40" s="13" t="s">
        <v>183</v>
      </c>
      <c r="B40" s="4">
        <v>4</v>
      </c>
      <c r="C40" s="5" t="s">
        <v>184</v>
      </c>
    </row>
    <row r="41" spans="1:4">
      <c r="A41" s="13" t="s">
        <v>186</v>
      </c>
      <c r="B41" s="4">
        <v>10</v>
      </c>
      <c r="C41" s="5" t="s">
        <v>187</v>
      </c>
    </row>
    <row r="42" spans="1:4" ht="30.75">
      <c r="A42" s="13" t="s">
        <v>233</v>
      </c>
      <c r="B42" s="4">
        <v>28</v>
      </c>
      <c r="C42" s="5" t="s">
        <v>234</v>
      </c>
    </row>
    <row r="43" spans="1:4">
      <c r="A43" s="13" t="s">
        <v>34</v>
      </c>
      <c r="B43" s="4">
        <v>8</v>
      </c>
      <c r="C43" s="5" t="s">
        <v>14</v>
      </c>
    </row>
    <row r="44" spans="1:4" ht="13.9">
      <c r="A44" s="12" t="s">
        <v>230</v>
      </c>
      <c r="B44" s="4">
        <v>9</v>
      </c>
      <c r="C44" s="5" t="s">
        <v>16</v>
      </c>
    </row>
    <row r="45" spans="1:4" ht="13.9">
      <c r="A45" s="10" t="s">
        <v>17</v>
      </c>
      <c r="B45" s="11">
        <f>SUM(B33:B44)</f>
        <v>88</v>
      </c>
      <c r="C45" s="5"/>
    </row>
    <row r="49" spans="1:10" ht="13.9">
      <c r="A49" s="27" t="s">
        <v>36</v>
      </c>
      <c r="B49" s="27"/>
      <c r="C49" s="27"/>
      <c r="D49" s="27"/>
    </row>
    <row r="50" spans="1:10" ht="13.9">
      <c r="A50" t="s">
        <v>1</v>
      </c>
      <c r="B50" s="25" t="s">
        <v>235</v>
      </c>
      <c r="C50" s="25"/>
      <c r="D50" s="25"/>
      <c r="E50" s="25"/>
      <c r="F50" s="25"/>
      <c r="G50" s="25"/>
      <c r="H50" s="25"/>
      <c r="I50" s="25"/>
      <c r="J50" s="25"/>
    </row>
    <row r="51" spans="1:10" ht="13.9">
      <c r="A51" s="6" t="s">
        <v>3</v>
      </c>
      <c r="B51" s="6" t="s">
        <v>4</v>
      </c>
      <c r="C51" s="6" t="s">
        <v>5</v>
      </c>
      <c r="D51" s="6" t="s">
        <v>6</v>
      </c>
    </row>
    <row r="52" spans="1:10" ht="13.9">
      <c r="A52" s="5" t="s">
        <v>7</v>
      </c>
      <c r="B52" s="5">
        <v>4</v>
      </c>
      <c r="C52" s="5" t="s">
        <v>8</v>
      </c>
      <c r="D52" s="28" t="s">
        <v>9</v>
      </c>
    </row>
    <row r="53" spans="1:10" ht="13.9">
      <c r="A53" s="7" t="s">
        <v>236</v>
      </c>
      <c r="B53" s="5">
        <v>5</v>
      </c>
      <c r="C53" s="5" t="s">
        <v>11</v>
      </c>
      <c r="D53" s="28"/>
    </row>
    <row r="54" spans="1:10" ht="13.9">
      <c r="A54" s="7"/>
      <c r="B54" s="5">
        <v>1</v>
      </c>
      <c r="C54" s="5" t="s">
        <v>12</v>
      </c>
    </row>
    <row r="55" spans="1:10">
      <c r="A55" s="13" t="s">
        <v>39</v>
      </c>
      <c r="B55" s="4">
        <v>1</v>
      </c>
      <c r="C55" s="5" t="s">
        <v>22</v>
      </c>
    </row>
    <row r="56" spans="1:10">
      <c r="A56" s="13" t="s">
        <v>39</v>
      </c>
      <c r="B56" s="4">
        <v>1</v>
      </c>
      <c r="C56" s="5" t="s">
        <v>40</v>
      </c>
    </row>
    <row r="57" spans="1:10">
      <c r="A57" s="13" t="s">
        <v>237</v>
      </c>
      <c r="B57" s="4">
        <v>10</v>
      </c>
      <c r="C57" s="5" t="s">
        <v>238</v>
      </c>
    </row>
    <row r="58" spans="1:10">
      <c r="A58" s="13" t="s">
        <v>41</v>
      </c>
      <c r="B58" s="4">
        <v>13</v>
      </c>
      <c r="C58" s="5" t="s">
        <v>33</v>
      </c>
    </row>
    <row r="59" spans="1:10">
      <c r="A59" s="18" t="s">
        <v>239</v>
      </c>
      <c r="B59" s="4">
        <v>28</v>
      </c>
      <c r="C59" s="5" t="s">
        <v>234</v>
      </c>
    </row>
    <row r="60" spans="1:10">
      <c r="A60" s="13" t="s">
        <v>34</v>
      </c>
      <c r="B60" s="4">
        <v>8</v>
      </c>
      <c r="C60" s="5" t="s">
        <v>14</v>
      </c>
    </row>
    <row r="61" spans="1:10" ht="13.9">
      <c r="A61" s="12" t="s">
        <v>240</v>
      </c>
      <c r="B61" s="4">
        <v>9</v>
      </c>
      <c r="C61" s="5" t="s">
        <v>16</v>
      </c>
    </row>
    <row r="62" spans="1:10" ht="13.9">
      <c r="A62" s="10" t="s">
        <v>17</v>
      </c>
      <c r="B62" s="11">
        <f>SUM(B52:B61)</f>
        <v>80</v>
      </c>
      <c r="C62" s="5"/>
    </row>
  </sheetData>
  <mergeCells count="12">
    <mergeCell ref="A1:D1"/>
    <mergeCell ref="B2:J2"/>
    <mergeCell ref="D4:D5"/>
    <mergeCell ref="A30:D30"/>
    <mergeCell ref="B31:J31"/>
    <mergeCell ref="B50:J50"/>
    <mergeCell ref="D52:D53"/>
    <mergeCell ref="D33:D34"/>
    <mergeCell ref="A14:D14"/>
    <mergeCell ref="B15:J15"/>
    <mergeCell ref="D17:D18"/>
    <mergeCell ref="A49:D4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0"/>
  <sheetViews>
    <sheetView zoomScaleNormal="100" workbookViewId="0">
      <selection activeCell="D90" sqref="D90"/>
    </sheetView>
  </sheetViews>
  <sheetFormatPr defaultColWidth="8" defaultRowHeight="15"/>
  <cols>
    <col min="1" max="1" width="31.140625" customWidth="1"/>
    <col min="2" max="2" width="11.140625" customWidth="1"/>
    <col min="3" max="3" width="35.42578125" customWidth="1"/>
    <col min="4" max="4" width="57" customWidth="1"/>
    <col min="5" max="5" width="19.140625" customWidth="1"/>
  </cols>
  <sheetData>
    <row r="1" spans="1:10">
      <c r="A1" s="27" t="s">
        <v>0</v>
      </c>
      <c r="B1" s="27"/>
      <c r="C1" s="27"/>
      <c r="D1" s="27"/>
    </row>
    <row r="2" spans="1:10">
      <c r="A2" t="s">
        <v>43</v>
      </c>
      <c r="B2" s="25" t="s">
        <v>241</v>
      </c>
      <c r="C2" s="25"/>
      <c r="D2" s="25"/>
      <c r="E2" s="25"/>
      <c r="F2" s="25"/>
      <c r="G2" s="25"/>
      <c r="H2" s="25"/>
      <c r="I2" s="25"/>
      <c r="J2" s="25"/>
    </row>
    <row r="3" spans="1:10">
      <c r="A3" s="6" t="s">
        <v>3</v>
      </c>
      <c r="B3" s="6" t="s">
        <v>4</v>
      </c>
      <c r="C3" s="6" t="s">
        <v>5</v>
      </c>
      <c r="D3" s="6" t="s">
        <v>6</v>
      </c>
      <c r="E3" s="3"/>
      <c r="F3" s="3"/>
      <c r="G3" s="3"/>
      <c r="H3" s="3"/>
      <c r="I3" s="3"/>
      <c r="J3" s="3"/>
    </row>
    <row r="4" spans="1:10">
      <c r="A4" s="5" t="s">
        <v>45</v>
      </c>
      <c r="B4" s="5">
        <v>4</v>
      </c>
      <c r="C4" s="5" t="s">
        <v>46</v>
      </c>
      <c r="D4" s="28" t="s">
        <v>9</v>
      </c>
      <c r="E4" s="3"/>
      <c r="F4" s="3"/>
      <c r="G4" s="3"/>
      <c r="H4" s="3"/>
      <c r="I4" s="3"/>
      <c r="J4" s="3"/>
    </row>
    <row r="5" spans="1:10">
      <c r="A5" s="7" t="s">
        <v>242</v>
      </c>
      <c r="B5" s="5">
        <v>5</v>
      </c>
      <c r="C5" s="5" t="s">
        <v>11</v>
      </c>
      <c r="D5" s="28"/>
    </row>
    <row r="6" spans="1:10">
      <c r="A6" s="7"/>
      <c r="B6" s="5">
        <v>1</v>
      </c>
      <c r="C6" s="5" t="s">
        <v>12</v>
      </c>
    </row>
    <row r="7" spans="1:10">
      <c r="A7" s="19" t="s">
        <v>243</v>
      </c>
      <c r="B7" s="4">
        <v>10</v>
      </c>
      <c r="C7" s="4" t="s">
        <v>244</v>
      </c>
      <c r="D7" t="s">
        <v>245</v>
      </c>
      <c r="E7" s="15"/>
    </row>
    <row r="8" spans="1:10">
      <c r="A8" s="20" t="s">
        <v>246</v>
      </c>
      <c r="B8" s="4">
        <v>10</v>
      </c>
      <c r="C8" s="5" t="s">
        <v>238</v>
      </c>
      <c r="D8" t="s">
        <v>247</v>
      </c>
      <c r="E8" s="15"/>
    </row>
    <row r="9" spans="1:10" ht="60.75">
      <c r="A9" s="21" t="s">
        <v>248</v>
      </c>
      <c r="B9" s="4">
        <v>19</v>
      </c>
      <c r="C9" s="5" t="s">
        <v>249</v>
      </c>
      <c r="D9" s="1" t="s">
        <v>250</v>
      </c>
      <c r="E9" s="15"/>
    </row>
    <row r="10" spans="1:10">
      <c r="A10" s="20" t="s">
        <v>107</v>
      </c>
      <c r="B10" s="4">
        <v>6</v>
      </c>
      <c r="C10" s="5" t="s">
        <v>108</v>
      </c>
      <c r="D10" t="s">
        <v>109</v>
      </c>
      <c r="E10" s="15"/>
    </row>
    <row r="11" spans="1:10">
      <c r="A11" s="10" t="s">
        <v>17</v>
      </c>
      <c r="B11" s="11">
        <f>SUM(B4:B10)</f>
        <v>55</v>
      </c>
      <c r="C11" s="5"/>
    </row>
    <row r="16" spans="1:10" ht="13.9">
      <c r="A16" s="27" t="s">
        <v>18</v>
      </c>
      <c r="B16" s="27"/>
      <c r="C16" s="27"/>
      <c r="D16" s="27"/>
    </row>
    <row r="17" spans="1:10" ht="44.25" customHeight="1">
      <c r="A17" t="s">
        <v>43</v>
      </c>
      <c r="B17" s="24" t="s">
        <v>251</v>
      </c>
      <c r="C17" s="24"/>
      <c r="D17" s="24"/>
      <c r="E17" s="24"/>
      <c r="F17" s="24"/>
      <c r="G17" s="24"/>
      <c r="H17" s="24"/>
      <c r="I17" s="24"/>
      <c r="J17" s="24"/>
    </row>
    <row r="18" spans="1:10" ht="13.9">
      <c r="A18" s="6" t="s">
        <v>3</v>
      </c>
      <c r="B18" s="6" t="s">
        <v>4</v>
      </c>
      <c r="C18" s="6" t="s">
        <v>5</v>
      </c>
      <c r="D18" s="6" t="s">
        <v>6</v>
      </c>
      <c r="E18" s="3"/>
      <c r="F18" s="3"/>
      <c r="G18" s="3"/>
      <c r="H18" s="3"/>
      <c r="I18" s="3"/>
      <c r="J18" s="3"/>
    </row>
    <row r="19" spans="1:10" ht="13.9">
      <c r="A19" s="5" t="s">
        <v>45</v>
      </c>
      <c r="B19" s="5">
        <v>4</v>
      </c>
      <c r="C19" s="5" t="s">
        <v>46</v>
      </c>
      <c r="D19" s="28" t="s">
        <v>9</v>
      </c>
      <c r="E19" s="3"/>
      <c r="F19" s="3"/>
      <c r="G19" s="3"/>
      <c r="H19" s="3"/>
      <c r="I19" s="3"/>
      <c r="J19" s="3"/>
    </row>
    <row r="20" spans="1:10" ht="13.9">
      <c r="A20" s="7" t="s">
        <v>252</v>
      </c>
      <c r="B20" s="5">
        <v>5</v>
      </c>
      <c r="C20" s="5" t="s">
        <v>11</v>
      </c>
      <c r="D20" s="28"/>
    </row>
    <row r="21" spans="1:10" ht="13.9">
      <c r="A21" s="7"/>
      <c r="B21" s="5">
        <v>1</v>
      </c>
      <c r="C21" s="5" t="s">
        <v>12</v>
      </c>
    </row>
    <row r="22" spans="1:10">
      <c r="A22" s="14">
        <v>2009</v>
      </c>
      <c r="B22" s="4">
        <v>4</v>
      </c>
      <c r="C22" s="4" t="s">
        <v>113</v>
      </c>
      <c r="D22" t="s">
        <v>253</v>
      </c>
      <c r="E22" s="15"/>
    </row>
    <row r="23" spans="1:10">
      <c r="A23" s="14">
        <v>3</v>
      </c>
      <c r="B23" s="4">
        <v>1</v>
      </c>
      <c r="C23" s="4" t="s">
        <v>116</v>
      </c>
      <c r="D23" t="s">
        <v>254</v>
      </c>
      <c r="E23" s="15"/>
    </row>
    <row r="24" spans="1:10">
      <c r="A24" s="19" t="s">
        <v>255</v>
      </c>
      <c r="B24" s="4">
        <v>10</v>
      </c>
      <c r="C24" s="4" t="s">
        <v>119</v>
      </c>
      <c r="D24" t="s">
        <v>256</v>
      </c>
      <c r="E24" s="15"/>
    </row>
    <row r="25" spans="1:10">
      <c r="A25" s="19">
        <v>29</v>
      </c>
      <c r="B25" s="4">
        <v>2</v>
      </c>
      <c r="C25" s="4" t="s">
        <v>64</v>
      </c>
      <c r="E25" s="15"/>
    </row>
    <row r="26" spans="1:10" ht="30.75">
      <c r="A26" s="19" t="s">
        <v>257</v>
      </c>
      <c r="B26" s="4">
        <v>29</v>
      </c>
      <c r="C26" s="4" t="s">
        <v>67</v>
      </c>
      <c r="D26" t="s">
        <v>258</v>
      </c>
      <c r="E26" s="15"/>
    </row>
    <row r="27" spans="1:10">
      <c r="A27" s="19" t="s">
        <v>259</v>
      </c>
      <c r="B27" s="4">
        <v>10</v>
      </c>
      <c r="C27" s="4" t="s">
        <v>260</v>
      </c>
      <c r="D27" t="s">
        <v>261</v>
      </c>
      <c r="E27" s="15"/>
    </row>
    <row r="28" spans="1:10">
      <c r="A28" s="19" t="s">
        <v>262</v>
      </c>
      <c r="B28" s="4">
        <v>10</v>
      </c>
      <c r="C28" s="4" t="s">
        <v>263</v>
      </c>
      <c r="D28" t="s">
        <v>264</v>
      </c>
      <c r="E28" s="15"/>
    </row>
    <row r="29" spans="1:10">
      <c r="A29" s="19" t="s">
        <v>265</v>
      </c>
      <c r="B29" s="4">
        <v>10</v>
      </c>
      <c r="C29" s="4" t="s">
        <v>266</v>
      </c>
      <c r="D29" t="s">
        <v>267</v>
      </c>
      <c r="E29" s="15"/>
    </row>
    <row r="30" spans="1:10">
      <c r="A30" s="19" t="s">
        <v>268</v>
      </c>
      <c r="B30" s="4">
        <v>11</v>
      </c>
      <c r="C30" s="4" t="s">
        <v>269</v>
      </c>
      <c r="D30" t="s">
        <v>270</v>
      </c>
      <c r="E30" s="15"/>
    </row>
    <row r="31" spans="1:10">
      <c r="A31" s="19" t="s">
        <v>139</v>
      </c>
      <c r="B31" s="4">
        <v>10</v>
      </c>
      <c r="C31" s="4" t="s">
        <v>271</v>
      </c>
      <c r="D31" t="s">
        <v>272</v>
      </c>
      <c r="E31" s="15"/>
    </row>
    <row r="32" spans="1:10">
      <c r="A32" s="19" t="s">
        <v>273</v>
      </c>
      <c r="B32" s="4">
        <v>10</v>
      </c>
      <c r="C32" s="4" t="s">
        <v>274</v>
      </c>
      <c r="D32" t="s">
        <v>275</v>
      </c>
      <c r="E32" s="15"/>
    </row>
    <row r="33" spans="1:10">
      <c r="A33" s="19" t="s">
        <v>139</v>
      </c>
      <c r="B33" s="4">
        <v>10</v>
      </c>
      <c r="C33" s="4" t="s">
        <v>276</v>
      </c>
      <c r="D33" t="s">
        <v>277</v>
      </c>
      <c r="E33" s="15"/>
    </row>
    <row r="34" spans="1:10">
      <c r="A34" s="19" t="s">
        <v>139</v>
      </c>
      <c r="B34" s="4">
        <v>10</v>
      </c>
      <c r="C34" s="4" t="s">
        <v>278</v>
      </c>
      <c r="D34" t="s">
        <v>279</v>
      </c>
      <c r="E34" s="15"/>
    </row>
    <row r="35" spans="1:10">
      <c r="A35" s="19">
        <v>20181116</v>
      </c>
      <c r="B35" s="4">
        <v>8</v>
      </c>
      <c r="C35" s="4" t="s">
        <v>125</v>
      </c>
      <c r="D35" t="s">
        <v>280</v>
      </c>
      <c r="E35" s="15"/>
    </row>
    <row r="36" spans="1:10">
      <c r="A36" s="19" t="s">
        <v>281</v>
      </c>
      <c r="B36" s="4">
        <v>10</v>
      </c>
      <c r="C36" s="4" t="s">
        <v>282</v>
      </c>
      <c r="D36" t="s">
        <v>283</v>
      </c>
      <c r="E36" s="15"/>
    </row>
    <row r="37" spans="1:10">
      <c r="A37" s="19" t="s">
        <v>284</v>
      </c>
      <c r="B37" s="4">
        <v>10</v>
      </c>
      <c r="C37" s="5" t="s">
        <v>285</v>
      </c>
      <c r="D37" t="s">
        <v>286</v>
      </c>
      <c r="E37" s="15"/>
    </row>
    <row r="38" spans="1:10" ht="45.75">
      <c r="A38" s="19" t="s">
        <v>178</v>
      </c>
      <c r="B38" s="4">
        <v>2</v>
      </c>
      <c r="C38" s="5" t="s">
        <v>179</v>
      </c>
      <c r="D38" s="1" t="s">
        <v>287</v>
      </c>
      <c r="E38" s="15"/>
    </row>
    <row r="39" spans="1:10" ht="13.9">
      <c r="A39" s="4"/>
      <c r="B39" s="4"/>
      <c r="C39" s="5"/>
      <c r="E39" s="15"/>
    </row>
    <row r="40" spans="1:10" ht="13.9">
      <c r="A40" s="10" t="s">
        <v>17</v>
      </c>
      <c r="B40" s="11">
        <f>SUM(B19:B39)</f>
        <v>167</v>
      </c>
      <c r="C40" s="5"/>
    </row>
    <row r="46" spans="1:10" ht="13.9">
      <c r="A46" s="27" t="s">
        <v>24</v>
      </c>
      <c r="B46" s="27"/>
      <c r="C46" s="27"/>
      <c r="D46" s="27"/>
    </row>
    <row r="47" spans="1:10" ht="30" customHeight="1">
      <c r="A47" t="s">
        <v>43</v>
      </c>
      <c r="B47" s="24" t="s">
        <v>288</v>
      </c>
      <c r="C47" s="24"/>
      <c r="D47" s="24"/>
      <c r="E47" s="24"/>
      <c r="F47" s="24"/>
      <c r="G47" s="24"/>
      <c r="H47" s="24"/>
      <c r="I47" s="24"/>
      <c r="J47" s="24"/>
    </row>
    <row r="48" spans="1:10" ht="13.9">
      <c r="A48" s="6" t="s">
        <v>3</v>
      </c>
      <c r="B48" s="6" t="s">
        <v>4</v>
      </c>
      <c r="C48" s="6" t="s">
        <v>5</v>
      </c>
      <c r="D48" s="6" t="s">
        <v>6</v>
      </c>
      <c r="E48" s="3"/>
      <c r="F48" s="3"/>
      <c r="G48" s="3"/>
      <c r="H48" s="3"/>
      <c r="I48" s="3"/>
      <c r="J48" s="3"/>
    </row>
    <row r="49" spans="1:10" ht="13.9">
      <c r="A49" s="5" t="s">
        <v>45</v>
      </c>
      <c r="B49" s="5">
        <v>4</v>
      </c>
      <c r="C49" s="5" t="s">
        <v>46</v>
      </c>
      <c r="D49" s="28" t="s">
        <v>9</v>
      </c>
      <c r="E49" s="3"/>
      <c r="F49" s="3"/>
      <c r="G49" s="3"/>
      <c r="H49" s="3"/>
      <c r="I49" s="3"/>
      <c r="J49" s="3"/>
    </row>
    <row r="50" spans="1:10" ht="13.9">
      <c r="A50" s="7" t="s">
        <v>289</v>
      </c>
      <c r="B50" s="5">
        <v>5</v>
      </c>
      <c r="C50" s="5" t="s">
        <v>11</v>
      </c>
      <c r="D50" s="28"/>
    </row>
    <row r="51" spans="1:10" ht="13.9">
      <c r="A51" s="7"/>
      <c r="B51" s="5">
        <v>1</v>
      </c>
      <c r="C51" s="5" t="s">
        <v>12</v>
      </c>
    </row>
    <row r="52" spans="1:10">
      <c r="A52" s="14">
        <v>20181113</v>
      </c>
      <c r="B52" s="4">
        <v>8</v>
      </c>
      <c r="C52" s="4" t="s">
        <v>125</v>
      </c>
      <c r="D52" t="s">
        <v>290</v>
      </c>
      <c r="E52" s="15"/>
    </row>
    <row r="53" spans="1:10" ht="13.9">
      <c r="A53" s="4">
        <v>2013</v>
      </c>
      <c r="B53" s="4">
        <v>4</v>
      </c>
      <c r="C53" s="5" t="s">
        <v>184</v>
      </c>
      <c r="D53" t="s">
        <v>291</v>
      </c>
      <c r="E53" s="15"/>
    </row>
    <row r="54" spans="1:10">
      <c r="A54" s="20" t="s">
        <v>186</v>
      </c>
      <c r="B54" s="4">
        <v>10</v>
      </c>
      <c r="C54" s="5" t="s">
        <v>187</v>
      </c>
      <c r="D54" t="s">
        <v>188</v>
      </c>
      <c r="E54" s="15"/>
    </row>
    <row r="55" spans="1:10">
      <c r="A55" s="4">
        <v>31</v>
      </c>
      <c r="B55" s="4">
        <v>2</v>
      </c>
      <c r="C55" s="5" t="s">
        <v>64</v>
      </c>
      <c r="E55" s="15"/>
    </row>
    <row r="56" spans="1:10">
      <c r="A56" s="4" t="s">
        <v>292</v>
      </c>
      <c r="B56" s="4">
        <v>31</v>
      </c>
      <c r="C56" s="5" t="s">
        <v>67</v>
      </c>
      <c r="D56" t="s">
        <v>191</v>
      </c>
      <c r="E56" s="15"/>
    </row>
    <row r="57" spans="1:10">
      <c r="A57" s="20" t="s">
        <v>233</v>
      </c>
      <c r="B57" s="4">
        <v>28</v>
      </c>
      <c r="C57" s="5" t="s">
        <v>234</v>
      </c>
      <c r="D57" t="s">
        <v>293</v>
      </c>
      <c r="E57" s="15"/>
    </row>
    <row r="58" spans="1:10" ht="30.75">
      <c r="A58" s="4">
        <v>42</v>
      </c>
      <c r="B58" s="4">
        <v>2</v>
      </c>
      <c r="C58" s="5" t="s">
        <v>294</v>
      </c>
      <c r="D58" s="1" t="s">
        <v>295</v>
      </c>
      <c r="E58" s="15"/>
    </row>
    <row r="59" spans="1:10" ht="13.9">
      <c r="A59" s="4"/>
      <c r="B59" s="4"/>
      <c r="C59" s="5"/>
      <c r="E59" s="15"/>
    </row>
    <row r="60" spans="1:10" ht="13.9">
      <c r="A60" s="10" t="s">
        <v>17</v>
      </c>
      <c r="B60" s="11">
        <f>SUM(B49:B59)</f>
        <v>95</v>
      </c>
      <c r="C60" s="5"/>
    </row>
    <row r="67" spans="1:10" ht="13.9">
      <c r="A67" s="27" t="s">
        <v>36</v>
      </c>
      <c r="B67" s="27"/>
      <c r="C67" s="27"/>
      <c r="D67" s="27"/>
    </row>
    <row r="68" spans="1:10" ht="13.9">
      <c r="A68" t="s">
        <v>43</v>
      </c>
      <c r="B68" s="25" t="s">
        <v>296</v>
      </c>
      <c r="C68" s="25"/>
      <c r="D68" s="25"/>
      <c r="E68" s="25"/>
      <c r="F68" s="25"/>
      <c r="G68" s="25"/>
      <c r="H68" s="25"/>
      <c r="I68" s="25"/>
      <c r="J68" s="25"/>
    </row>
    <row r="69" spans="1:10" ht="13.9">
      <c r="A69" s="6" t="s">
        <v>3</v>
      </c>
      <c r="B69" s="6" t="s">
        <v>4</v>
      </c>
      <c r="C69" s="6" t="s">
        <v>5</v>
      </c>
      <c r="D69" s="6" t="s">
        <v>6</v>
      </c>
      <c r="E69" s="3"/>
      <c r="F69" s="3"/>
      <c r="G69" s="3"/>
      <c r="H69" s="3"/>
      <c r="I69" s="3"/>
      <c r="J69" s="3"/>
    </row>
    <row r="70" spans="1:10" ht="13.9">
      <c r="A70" s="5" t="s">
        <v>45</v>
      </c>
      <c r="B70" s="5">
        <v>4</v>
      </c>
      <c r="C70" s="5" t="s">
        <v>46</v>
      </c>
      <c r="D70" s="28" t="s">
        <v>9</v>
      </c>
      <c r="E70" s="3"/>
      <c r="F70" s="3"/>
      <c r="G70" s="3"/>
      <c r="H70" s="3"/>
      <c r="I70" s="3"/>
      <c r="J70" s="3"/>
    </row>
    <row r="71" spans="1:10" ht="13.9">
      <c r="A71" s="7" t="s">
        <v>297</v>
      </c>
      <c r="B71" s="5">
        <v>5</v>
      </c>
      <c r="C71" s="5" t="s">
        <v>11</v>
      </c>
      <c r="D71" s="28"/>
    </row>
    <row r="72" spans="1:10" ht="13.9">
      <c r="A72" s="7"/>
      <c r="B72" s="5">
        <v>1</v>
      </c>
      <c r="C72" s="5" t="s">
        <v>12</v>
      </c>
    </row>
    <row r="73" spans="1:10">
      <c r="A73" s="19" t="s">
        <v>200</v>
      </c>
      <c r="B73" s="4">
        <v>10</v>
      </c>
      <c r="C73" s="4" t="s">
        <v>201</v>
      </c>
      <c r="D73" t="s">
        <v>202</v>
      </c>
      <c r="E73" s="15"/>
    </row>
    <row r="74" spans="1:10">
      <c r="A74" s="14" t="s">
        <v>203</v>
      </c>
      <c r="B74" s="4">
        <v>3</v>
      </c>
      <c r="C74" s="4" t="s">
        <v>204</v>
      </c>
      <c r="D74" t="s">
        <v>298</v>
      </c>
      <c r="E74" s="15"/>
    </row>
    <row r="75" spans="1:10">
      <c r="A75" s="19" t="s">
        <v>299</v>
      </c>
      <c r="B75" s="4">
        <v>13</v>
      </c>
      <c r="C75" s="4" t="s">
        <v>33</v>
      </c>
      <c r="D75" t="s">
        <v>300</v>
      </c>
      <c r="E75" s="15"/>
    </row>
    <row r="76" spans="1:10">
      <c r="A76" s="14">
        <v>16</v>
      </c>
      <c r="B76" s="4">
        <v>2</v>
      </c>
      <c r="C76" s="4" t="s">
        <v>64</v>
      </c>
      <c r="E76" s="15"/>
    </row>
    <row r="77" spans="1:10">
      <c r="A77" s="14" t="s">
        <v>301</v>
      </c>
      <c r="B77" s="4">
        <v>16</v>
      </c>
      <c r="C77" s="4" t="s">
        <v>67</v>
      </c>
      <c r="D77" t="s">
        <v>212</v>
      </c>
      <c r="E77" s="15"/>
    </row>
    <row r="78" spans="1:10" ht="13.9">
      <c r="A78" s="20" t="s">
        <v>302</v>
      </c>
      <c r="B78" s="4">
        <v>28</v>
      </c>
      <c r="C78" s="5" t="s">
        <v>234</v>
      </c>
      <c r="D78" t="s">
        <v>303</v>
      </c>
      <c r="E78" s="15"/>
    </row>
    <row r="79" spans="1:10" ht="30.75">
      <c r="A79" s="20" t="s">
        <v>304</v>
      </c>
      <c r="B79" s="4">
        <v>10</v>
      </c>
      <c r="C79" s="5" t="s">
        <v>305</v>
      </c>
      <c r="D79" s="1" t="s">
        <v>306</v>
      </c>
      <c r="E79" s="15"/>
    </row>
    <row r="80" spans="1:10" ht="13.9">
      <c r="A80" s="4">
        <v>20181115</v>
      </c>
      <c r="B80" s="4">
        <v>8</v>
      </c>
      <c r="C80" s="5" t="s">
        <v>125</v>
      </c>
      <c r="D80" t="s">
        <v>290</v>
      </c>
      <c r="E80" s="15"/>
    </row>
    <row r="81" spans="1:3" ht="13.9">
      <c r="A81" s="10" t="s">
        <v>17</v>
      </c>
      <c r="B81" s="11">
        <f>SUM(B70:B80)</f>
        <v>100</v>
      </c>
      <c r="C81" s="5"/>
    </row>
    <row r="86" spans="1:3">
      <c r="A86" s="23" t="s">
        <v>224</v>
      </c>
    </row>
    <row r="87" spans="1:3">
      <c r="A87" s="23" t="s">
        <v>225</v>
      </c>
    </row>
    <row r="90" spans="1:3" ht="366">
      <c r="A90" s="2" t="s">
        <v>226</v>
      </c>
    </row>
  </sheetData>
  <mergeCells count="12">
    <mergeCell ref="A1:D1"/>
    <mergeCell ref="B2:J2"/>
    <mergeCell ref="D4:D5"/>
    <mergeCell ref="A16:D16"/>
    <mergeCell ref="B17:J17"/>
    <mergeCell ref="B68:J68"/>
    <mergeCell ref="D70:D71"/>
    <mergeCell ref="D19:D20"/>
    <mergeCell ref="A46:D46"/>
    <mergeCell ref="B47:J47"/>
    <mergeCell ref="D49:D50"/>
    <mergeCell ref="A67:D6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6"/>
  <sheetViews>
    <sheetView tabSelected="1" zoomScaleNormal="100" workbookViewId="0">
      <selection activeCell="B13" sqref="B13"/>
    </sheetView>
  </sheetViews>
  <sheetFormatPr defaultColWidth="8" defaultRowHeight="15"/>
  <cols>
    <col min="1" max="1" width="27.5703125" customWidth="1"/>
    <col min="2" max="2" width="8.140625" customWidth="1"/>
    <col min="3" max="3" width="58.42578125" customWidth="1"/>
    <col min="4" max="4" width="33.28515625" customWidth="1"/>
  </cols>
  <sheetData>
    <row r="1" spans="1:10">
      <c r="A1" s="27" t="s">
        <v>0</v>
      </c>
      <c r="B1" s="27"/>
      <c r="C1" s="27"/>
      <c r="D1" s="27"/>
    </row>
    <row r="2" spans="1:10">
      <c r="A2" t="s">
        <v>1</v>
      </c>
      <c r="B2" s="25" t="s">
        <v>307</v>
      </c>
      <c r="C2" s="25"/>
      <c r="D2" s="25"/>
      <c r="E2" s="25"/>
      <c r="F2" s="25"/>
      <c r="G2" s="25"/>
      <c r="H2" s="25"/>
      <c r="I2" s="25"/>
      <c r="J2" s="25"/>
    </row>
    <row r="3" spans="1:10">
      <c r="A3" s="6" t="s">
        <v>3</v>
      </c>
      <c r="B3" s="6" t="s">
        <v>4</v>
      </c>
      <c r="C3" s="6" t="s">
        <v>5</v>
      </c>
      <c r="D3" s="6" t="s">
        <v>6</v>
      </c>
    </row>
    <row r="4" spans="1:10">
      <c r="A4" s="5" t="s">
        <v>7</v>
      </c>
      <c r="B4" s="5">
        <v>4</v>
      </c>
      <c r="C4" s="5" t="s">
        <v>8</v>
      </c>
      <c r="D4" s="28" t="s">
        <v>9</v>
      </c>
    </row>
    <row r="5" spans="1:10">
      <c r="A5" s="7" t="s">
        <v>308</v>
      </c>
      <c r="B5" s="5">
        <v>5</v>
      </c>
      <c r="C5" s="5" t="s">
        <v>11</v>
      </c>
      <c r="D5" s="28"/>
    </row>
    <row r="6" spans="1:10">
      <c r="A6" s="7"/>
      <c r="B6" s="5">
        <v>1</v>
      </c>
      <c r="C6" s="5" t="s">
        <v>12</v>
      </c>
    </row>
    <row r="7" spans="1:10">
      <c r="A7" s="19" t="s">
        <v>309</v>
      </c>
      <c r="B7" s="4">
        <v>10</v>
      </c>
      <c r="C7" s="5" t="s">
        <v>244</v>
      </c>
    </row>
    <row r="8" spans="1:10">
      <c r="A8" s="19" t="s">
        <v>34</v>
      </c>
      <c r="B8" s="4">
        <v>8</v>
      </c>
      <c r="C8" s="5" t="s">
        <v>14</v>
      </c>
    </row>
    <row r="9" spans="1:10">
      <c r="A9" s="20" t="s">
        <v>230</v>
      </c>
      <c r="B9" s="4">
        <v>9</v>
      </c>
      <c r="C9" s="5" t="s">
        <v>16</v>
      </c>
    </row>
    <row r="10" spans="1:10">
      <c r="A10" s="10" t="s">
        <v>17</v>
      </c>
      <c r="B10" s="11">
        <f>SUM(B4:B9)</f>
        <v>37</v>
      </c>
      <c r="C10" s="5"/>
    </row>
    <row r="17" spans="1:10" ht="13.9">
      <c r="A17" s="27" t="s">
        <v>18</v>
      </c>
      <c r="B17" s="27"/>
      <c r="C17" s="27"/>
      <c r="D17" s="27"/>
    </row>
    <row r="18" spans="1:10" ht="13.9">
      <c r="A18" t="s">
        <v>1</v>
      </c>
      <c r="B18" s="25" t="s">
        <v>310</v>
      </c>
      <c r="C18" s="25"/>
      <c r="D18" s="25"/>
      <c r="E18" s="25"/>
      <c r="F18" s="25"/>
      <c r="G18" s="25"/>
      <c r="H18" s="25"/>
      <c r="I18" s="25"/>
      <c r="J18" s="25"/>
    </row>
    <row r="19" spans="1:10" ht="13.9">
      <c r="A19" s="6" t="s">
        <v>3</v>
      </c>
      <c r="B19" s="6" t="s">
        <v>4</v>
      </c>
      <c r="C19" s="6" t="s">
        <v>5</v>
      </c>
      <c r="D19" s="6" t="s">
        <v>6</v>
      </c>
    </row>
    <row r="20" spans="1:10" ht="13.9">
      <c r="A20" s="5" t="s">
        <v>7</v>
      </c>
      <c r="B20" s="5">
        <v>4</v>
      </c>
      <c r="C20" s="5" t="s">
        <v>8</v>
      </c>
      <c r="D20" s="28" t="s">
        <v>9</v>
      </c>
    </row>
    <row r="21" spans="1:10" ht="13.9">
      <c r="A21" s="7" t="s">
        <v>29</v>
      </c>
      <c r="B21" s="5">
        <v>5</v>
      </c>
      <c r="C21" s="5" t="s">
        <v>11</v>
      </c>
      <c r="D21" s="28"/>
    </row>
    <row r="22" spans="1:10" ht="13.9">
      <c r="A22" s="7"/>
      <c r="B22" s="5">
        <v>1</v>
      </c>
      <c r="C22" s="5" t="s">
        <v>12</v>
      </c>
    </row>
    <row r="23" spans="1:10">
      <c r="A23" s="7" t="s">
        <v>311</v>
      </c>
      <c r="B23" s="5">
        <v>1</v>
      </c>
      <c r="C23" s="5" t="s">
        <v>22</v>
      </c>
    </row>
    <row r="24" spans="1:10">
      <c r="A24" s="7" t="s">
        <v>229</v>
      </c>
      <c r="B24" s="5">
        <v>4</v>
      </c>
      <c r="C24" s="5" t="s">
        <v>113</v>
      </c>
    </row>
    <row r="25" spans="1:10">
      <c r="A25" s="7" t="s">
        <v>115</v>
      </c>
      <c r="B25" s="5">
        <v>1</v>
      </c>
      <c r="C25" s="5" t="s">
        <v>116</v>
      </c>
    </row>
    <row r="26" spans="1:10">
      <c r="A26" s="19" t="s">
        <v>34</v>
      </c>
      <c r="B26" s="4">
        <v>8</v>
      </c>
      <c r="C26" s="5" t="s">
        <v>14</v>
      </c>
    </row>
    <row r="27" spans="1:10" ht="13.9">
      <c r="A27" s="20" t="s">
        <v>230</v>
      </c>
      <c r="B27" s="4">
        <v>9</v>
      </c>
      <c r="C27" s="5" t="s">
        <v>16</v>
      </c>
    </row>
    <row r="28" spans="1:10" ht="13.9">
      <c r="A28" s="10" t="s">
        <v>17</v>
      </c>
      <c r="B28" s="11">
        <f>SUM(B20:B27)</f>
        <v>33</v>
      </c>
      <c r="C28" s="5"/>
    </row>
    <row r="33" spans="1:10" ht="13.9">
      <c r="A33" s="27" t="s">
        <v>24</v>
      </c>
      <c r="B33" s="27"/>
      <c r="C33" s="27"/>
      <c r="D33" s="27"/>
    </row>
    <row r="34" spans="1:10" ht="13.9">
      <c r="A34" t="s">
        <v>1</v>
      </c>
      <c r="B34" s="25" t="s">
        <v>312</v>
      </c>
      <c r="C34" s="25"/>
      <c r="D34" s="25"/>
      <c r="E34" s="25"/>
      <c r="F34" s="25"/>
      <c r="G34" s="25"/>
      <c r="H34" s="25"/>
      <c r="I34" s="25"/>
      <c r="J34" s="25"/>
    </row>
    <row r="35" spans="1:10" ht="13.9">
      <c r="A35" s="6" t="s">
        <v>3</v>
      </c>
      <c r="B35" s="6" t="s">
        <v>4</v>
      </c>
      <c r="C35" s="6" t="s">
        <v>5</v>
      </c>
      <c r="D35" s="6" t="s">
        <v>6</v>
      </c>
    </row>
    <row r="36" spans="1:10" ht="13.9">
      <c r="A36" s="5" t="s">
        <v>7</v>
      </c>
      <c r="B36" s="5">
        <v>4</v>
      </c>
      <c r="C36" s="5" t="s">
        <v>8</v>
      </c>
      <c r="D36" s="28" t="s">
        <v>9</v>
      </c>
    </row>
    <row r="37" spans="1:10" ht="13.9">
      <c r="A37" s="7" t="s">
        <v>232</v>
      </c>
      <c r="B37" s="5">
        <v>5</v>
      </c>
      <c r="C37" s="5" t="s">
        <v>11</v>
      </c>
      <c r="D37" s="28"/>
    </row>
    <row r="38" spans="1:10" ht="13.9">
      <c r="A38" s="7"/>
      <c r="B38" s="5">
        <v>1</v>
      </c>
      <c r="C38" s="5" t="s">
        <v>12</v>
      </c>
    </row>
    <row r="39" spans="1:10">
      <c r="A39" s="7" t="s">
        <v>27</v>
      </c>
      <c r="B39" s="5">
        <v>3</v>
      </c>
      <c r="C39" s="5" t="s">
        <v>28</v>
      </c>
    </row>
    <row r="40" spans="1:10">
      <c r="A40" s="22" t="s">
        <v>29</v>
      </c>
      <c r="B40" s="5">
        <v>5</v>
      </c>
      <c r="C40" s="5" t="s">
        <v>30</v>
      </c>
    </row>
    <row r="41" spans="1:10">
      <c r="A41" s="7" t="s">
        <v>311</v>
      </c>
      <c r="B41" s="5">
        <v>1</v>
      </c>
      <c r="C41" s="5" t="s">
        <v>22</v>
      </c>
    </row>
    <row r="42" spans="1:10">
      <c r="A42" s="22" t="s">
        <v>32</v>
      </c>
      <c r="B42" s="5">
        <v>10</v>
      </c>
      <c r="C42" s="5" t="s">
        <v>33</v>
      </c>
    </row>
    <row r="43" spans="1:10">
      <c r="A43" s="7" t="s">
        <v>183</v>
      </c>
      <c r="B43" s="5">
        <v>4</v>
      </c>
      <c r="C43" s="5" t="s">
        <v>184</v>
      </c>
    </row>
    <row r="44" spans="1:10">
      <c r="A44" s="22" t="s">
        <v>186</v>
      </c>
      <c r="B44" s="5">
        <v>10</v>
      </c>
      <c r="C44" s="5" t="s">
        <v>187</v>
      </c>
    </row>
    <row r="45" spans="1:10">
      <c r="A45" s="22" t="s">
        <v>233</v>
      </c>
      <c r="B45" s="5">
        <v>28</v>
      </c>
      <c r="C45" s="5" t="s">
        <v>234</v>
      </c>
    </row>
    <row r="46" spans="1:10">
      <c r="A46" s="19" t="s">
        <v>34</v>
      </c>
      <c r="B46" s="4">
        <v>8</v>
      </c>
      <c r="C46" s="5" t="s">
        <v>14</v>
      </c>
    </row>
    <row r="47" spans="1:10" ht="13.9">
      <c r="A47" s="20" t="s">
        <v>230</v>
      </c>
      <c r="B47" s="4">
        <v>9</v>
      </c>
      <c r="C47" s="5" t="s">
        <v>16</v>
      </c>
    </row>
    <row r="48" spans="1:10" ht="13.9">
      <c r="A48" s="10" t="s">
        <v>17</v>
      </c>
      <c r="B48" s="11">
        <f>SUM(B36:B47)</f>
        <v>88</v>
      </c>
      <c r="C48" s="5"/>
    </row>
    <row r="53" spans="1:10" ht="13.9">
      <c r="A53" s="27" t="s">
        <v>36</v>
      </c>
      <c r="B53" s="27"/>
      <c r="C53" s="27"/>
      <c r="D53" s="27"/>
    </row>
    <row r="54" spans="1:10" ht="13.9">
      <c r="A54" t="s">
        <v>1</v>
      </c>
      <c r="B54" s="25"/>
      <c r="C54" s="25"/>
      <c r="D54" s="25"/>
      <c r="E54" s="25"/>
      <c r="F54" s="25"/>
      <c r="G54" s="25"/>
      <c r="H54" s="25"/>
      <c r="I54" s="25"/>
      <c r="J54" s="25"/>
    </row>
    <row r="55" spans="1:10" ht="13.9">
      <c r="A55" s="6" t="s">
        <v>3</v>
      </c>
      <c r="B55" s="6" t="s">
        <v>4</v>
      </c>
      <c r="C55" s="6" t="s">
        <v>5</v>
      </c>
      <c r="D55" s="6" t="s">
        <v>6</v>
      </c>
    </row>
    <row r="56" spans="1:10" ht="13.9">
      <c r="A56" s="5" t="s">
        <v>7</v>
      </c>
      <c r="B56" s="5">
        <v>4</v>
      </c>
      <c r="C56" s="5" t="s">
        <v>8</v>
      </c>
      <c r="D56" s="28" t="s">
        <v>9</v>
      </c>
    </row>
    <row r="57" spans="1:10" ht="13.9">
      <c r="A57" s="7" t="s">
        <v>236</v>
      </c>
      <c r="B57" s="5">
        <v>5</v>
      </c>
      <c r="C57" s="5" t="s">
        <v>11</v>
      </c>
      <c r="D57" s="28"/>
    </row>
    <row r="58" spans="1:10" ht="13.9">
      <c r="A58" s="7"/>
      <c r="B58" s="5">
        <v>1</v>
      </c>
      <c r="C58" s="5" t="s">
        <v>12</v>
      </c>
    </row>
    <row r="59" spans="1:10">
      <c r="A59" s="7" t="s">
        <v>311</v>
      </c>
      <c r="B59" s="5">
        <v>1</v>
      </c>
      <c r="C59" s="5" t="s">
        <v>22</v>
      </c>
    </row>
    <row r="60" spans="1:10" ht="13.9">
      <c r="A60" s="7" t="s">
        <v>39</v>
      </c>
      <c r="B60" s="5">
        <v>1</v>
      </c>
      <c r="C60" s="5" t="s">
        <v>40</v>
      </c>
    </row>
    <row r="61" spans="1:10" ht="13.9">
      <c r="A61" s="22" t="s">
        <v>200</v>
      </c>
      <c r="B61" s="5">
        <v>10</v>
      </c>
      <c r="C61" s="5" t="s">
        <v>238</v>
      </c>
    </row>
    <row r="62" spans="1:10" ht="13.9">
      <c r="A62" s="22" t="s">
        <v>299</v>
      </c>
      <c r="B62" s="5">
        <v>13</v>
      </c>
      <c r="C62" s="5" t="s">
        <v>33</v>
      </c>
    </row>
    <row r="63" spans="1:10" ht="13.9">
      <c r="A63" s="22" t="s">
        <v>302</v>
      </c>
      <c r="B63" s="5">
        <v>28</v>
      </c>
      <c r="C63" s="5" t="s">
        <v>234</v>
      </c>
    </row>
    <row r="64" spans="1:10">
      <c r="A64" s="19" t="s">
        <v>34</v>
      </c>
      <c r="B64" s="4">
        <v>8</v>
      </c>
      <c r="C64" s="5" t="s">
        <v>14</v>
      </c>
    </row>
    <row r="65" spans="1:3" ht="13.9">
      <c r="A65" s="20" t="s">
        <v>230</v>
      </c>
      <c r="B65" s="4">
        <v>9</v>
      </c>
      <c r="C65" s="5" t="s">
        <v>16</v>
      </c>
    </row>
    <row r="66" spans="1:3" ht="13.9">
      <c r="A66" s="10" t="s">
        <v>17</v>
      </c>
      <c r="B66" s="11">
        <f>SUM(B56:B65)</f>
        <v>80</v>
      </c>
      <c r="C66" s="5"/>
    </row>
  </sheetData>
  <mergeCells count="12">
    <mergeCell ref="A1:D1"/>
    <mergeCell ref="B2:J2"/>
    <mergeCell ref="D4:D5"/>
    <mergeCell ref="A17:D17"/>
    <mergeCell ref="B18:J18"/>
    <mergeCell ref="B54:J54"/>
    <mergeCell ref="D56:D57"/>
    <mergeCell ref="D20:D21"/>
    <mergeCell ref="A33:D33"/>
    <mergeCell ref="B34:J34"/>
    <mergeCell ref="D36:D37"/>
    <mergeCell ref="A53:D5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8"/>
  <sheetViews>
    <sheetView zoomScaleNormal="100" workbookViewId="0">
      <selection activeCell="D67" sqref="D67"/>
    </sheetView>
  </sheetViews>
  <sheetFormatPr defaultColWidth="8" defaultRowHeight="15"/>
  <cols>
    <col min="1" max="1" width="33.28515625" customWidth="1"/>
    <col min="2" max="2" width="8.140625" customWidth="1"/>
    <col min="3" max="3" width="44.28515625" customWidth="1"/>
    <col min="4" max="4" width="51.7109375" customWidth="1"/>
    <col min="5" max="5" width="15.5703125" customWidth="1"/>
  </cols>
  <sheetData>
    <row r="1" spans="1:10">
      <c r="A1" s="27" t="s">
        <v>0</v>
      </c>
      <c r="B1" s="27"/>
      <c r="C1" s="27"/>
      <c r="D1" s="27"/>
    </row>
    <row r="2" spans="1:10">
      <c r="A2" t="s">
        <v>43</v>
      </c>
      <c r="B2" s="25" t="s">
        <v>313</v>
      </c>
      <c r="C2" s="25"/>
      <c r="D2" s="25"/>
      <c r="E2" s="25"/>
      <c r="F2" s="25"/>
      <c r="G2" s="25"/>
      <c r="H2" s="25"/>
      <c r="I2" s="25"/>
      <c r="J2" s="25"/>
    </row>
    <row r="3" spans="1:10">
      <c r="A3" s="6" t="s">
        <v>3</v>
      </c>
      <c r="B3" s="6" t="s">
        <v>4</v>
      </c>
      <c r="C3" s="6" t="s">
        <v>5</v>
      </c>
      <c r="D3" s="6" t="s">
        <v>6</v>
      </c>
      <c r="E3" s="3"/>
      <c r="F3" s="3"/>
      <c r="G3" s="3"/>
      <c r="H3" s="3"/>
      <c r="I3" s="3"/>
      <c r="J3" s="3"/>
    </row>
    <row r="4" spans="1:10">
      <c r="A4" s="5" t="s">
        <v>45</v>
      </c>
      <c r="B4" s="5">
        <v>4</v>
      </c>
      <c r="C4" s="5" t="s">
        <v>46</v>
      </c>
      <c r="D4" s="28" t="s">
        <v>9</v>
      </c>
      <c r="E4" s="3"/>
      <c r="F4" s="3"/>
      <c r="G4" s="3"/>
      <c r="H4" s="3"/>
      <c r="I4" s="3"/>
      <c r="J4" s="3"/>
    </row>
    <row r="5" spans="1:10">
      <c r="A5" s="7" t="s">
        <v>314</v>
      </c>
      <c r="B5" s="5">
        <v>5</v>
      </c>
      <c r="C5" s="5" t="s">
        <v>11</v>
      </c>
      <c r="D5" s="28"/>
    </row>
    <row r="6" spans="1:10">
      <c r="A6" s="7"/>
      <c r="B6" s="5">
        <v>1</v>
      </c>
      <c r="C6" s="5" t="s">
        <v>12</v>
      </c>
    </row>
    <row r="7" spans="1:10">
      <c r="A7" s="19" t="s">
        <v>309</v>
      </c>
      <c r="B7" s="4">
        <v>10</v>
      </c>
      <c r="C7" s="4" t="s">
        <v>244</v>
      </c>
      <c r="D7" t="s">
        <v>245</v>
      </c>
      <c r="E7" s="15"/>
    </row>
    <row r="8" spans="1:10">
      <c r="A8" s="20" t="s">
        <v>107</v>
      </c>
      <c r="B8" s="4">
        <v>6</v>
      </c>
      <c r="C8" s="5" t="s">
        <v>108</v>
      </c>
      <c r="D8" t="s">
        <v>109</v>
      </c>
      <c r="E8" s="15"/>
    </row>
    <row r="9" spans="1:10">
      <c r="A9" s="4"/>
      <c r="B9" s="4"/>
      <c r="C9" s="5"/>
      <c r="D9" s="1"/>
      <c r="E9" s="15"/>
    </row>
    <row r="10" spans="1:10">
      <c r="A10" s="4"/>
      <c r="B10" s="4"/>
      <c r="C10" s="5"/>
      <c r="E10" s="15"/>
    </row>
    <row r="11" spans="1:10">
      <c r="A11" s="10" t="s">
        <v>17</v>
      </c>
      <c r="B11" s="11">
        <f>SUM(B4:B10)</f>
        <v>26</v>
      </c>
      <c r="C11" s="5"/>
    </row>
    <row r="16" spans="1:10" ht="13.9">
      <c r="A16" s="27" t="s">
        <v>18</v>
      </c>
      <c r="B16" s="27"/>
      <c r="C16" s="27"/>
      <c r="D16" s="27"/>
    </row>
    <row r="17" spans="1:10" ht="13.9">
      <c r="A17" t="s">
        <v>43</v>
      </c>
      <c r="B17" s="25" t="s">
        <v>315</v>
      </c>
      <c r="C17" s="25"/>
      <c r="D17" s="25"/>
      <c r="E17" s="25"/>
      <c r="F17" s="25"/>
      <c r="G17" s="25"/>
      <c r="H17" s="25"/>
      <c r="I17" s="25"/>
      <c r="J17" s="25"/>
    </row>
    <row r="18" spans="1:10" ht="13.9">
      <c r="A18" s="6" t="s">
        <v>3</v>
      </c>
      <c r="B18" s="6" t="s">
        <v>4</v>
      </c>
      <c r="C18" s="6" t="s">
        <v>5</v>
      </c>
      <c r="D18" s="6" t="s">
        <v>6</v>
      </c>
      <c r="E18" s="3"/>
      <c r="F18" s="3"/>
      <c r="G18" s="3"/>
      <c r="H18" s="3"/>
      <c r="I18" s="3"/>
      <c r="J18" s="3"/>
    </row>
    <row r="19" spans="1:10" ht="13.9">
      <c r="A19" s="5" t="s">
        <v>45</v>
      </c>
      <c r="B19" s="5">
        <v>4</v>
      </c>
      <c r="C19" s="5" t="s">
        <v>46</v>
      </c>
      <c r="D19" s="28" t="s">
        <v>9</v>
      </c>
      <c r="E19" s="3"/>
      <c r="F19" s="3"/>
      <c r="G19" s="3"/>
      <c r="H19" s="3"/>
      <c r="I19" s="3"/>
      <c r="J19" s="3"/>
    </row>
    <row r="20" spans="1:10" ht="13.9">
      <c r="A20" s="7" t="s">
        <v>316</v>
      </c>
      <c r="B20" s="5">
        <v>5</v>
      </c>
      <c r="C20" s="5" t="s">
        <v>11</v>
      </c>
      <c r="D20" s="28"/>
    </row>
    <row r="21" spans="1:10" ht="13.9">
      <c r="A21" s="7"/>
      <c r="B21" s="5">
        <v>1</v>
      </c>
      <c r="C21" s="5" t="s">
        <v>12</v>
      </c>
    </row>
    <row r="22" spans="1:10">
      <c r="A22" s="14">
        <v>2009</v>
      </c>
      <c r="B22" s="4">
        <v>4</v>
      </c>
      <c r="C22" s="4" t="s">
        <v>113</v>
      </c>
      <c r="D22" t="s">
        <v>317</v>
      </c>
      <c r="E22" s="15"/>
    </row>
    <row r="23" spans="1:10" ht="13.9">
      <c r="A23" s="4">
        <v>3</v>
      </c>
      <c r="B23" s="4">
        <v>1</v>
      </c>
      <c r="C23" s="5" t="s">
        <v>116</v>
      </c>
      <c r="D23" t="s">
        <v>318</v>
      </c>
      <c r="E23" s="15"/>
    </row>
    <row r="24" spans="1:10">
      <c r="A24" s="20" t="s">
        <v>178</v>
      </c>
      <c r="B24" s="4">
        <v>2</v>
      </c>
      <c r="C24" s="5" t="s">
        <v>179</v>
      </c>
      <c r="D24" s="1" t="s">
        <v>319</v>
      </c>
      <c r="E24" s="15"/>
    </row>
    <row r="25" spans="1:10" ht="13.9">
      <c r="A25" s="4"/>
      <c r="B25" s="4"/>
      <c r="C25" s="5"/>
      <c r="E25" s="15"/>
    </row>
    <row r="26" spans="1:10" ht="13.9">
      <c r="A26" s="10" t="s">
        <v>17</v>
      </c>
      <c r="B26" s="11">
        <f>SUM(B19:B25)</f>
        <v>17</v>
      </c>
      <c r="C26" s="5"/>
    </row>
    <row r="30" spans="1:10" ht="13.9">
      <c r="A30" s="27" t="s">
        <v>24</v>
      </c>
      <c r="B30" s="27"/>
      <c r="C30" s="27"/>
      <c r="D30" s="27"/>
    </row>
    <row r="31" spans="1:10" ht="30.75" customHeight="1">
      <c r="A31" t="s">
        <v>43</v>
      </c>
      <c r="B31" s="24" t="s">
        <v>288</v>
      </c>
      <c r="C31" s="24"/>
      <c r="D31" s="24"/>
      <c r="E31" s="24"/>
      <c r="F31" s="24"/>
      <c r="G31" s="24"/>
      <c r="H31" s="24"/>
      <c r="I31" s="24"/>
      <c r="J31" s="24"/>
    </row>
    <row r="32" spans="1:10" ht="13.9">
      <c r="A32" s="6" t="s">
        <v>3</v>
      </c>
      <c r="B32" s="6" t="s">
        <v>4</v>
      </c>
      <c r="C32" s="6" t="s">
        <v>5</v>
      </c>
      <c r="D32" s="6" t="s">
        <v>6</v>
      </c>
      <c r="E32" s="3"/>
      <c r="F32" s="3"/>
      <c r="G32" s="3"/>
      <c r="H32" s="3"/>
      <c r="I32" s="3"/>
      <c r="J32" s="3"/>
    </row>
    <row r="33" spans="1:10" ht="13.9">
      <c r="A33" s="5" t="s">
        <v>45</v>
      </c>
      <c r="B33" s="5">
        <v>4</v>
      </c>
      <c r="C33" s="5" t="s">
        <v>46</v>
      </c>
      <c r="D33" s="28" t="s">
        <v>9</v>
      </c>
      <c r="E33" s="3"/>
      <c r="F33" s="3"/>
      <c r="G33" s="3"/>
      <c r="H33" s="3"/>
      <c r="I33" s="3"/>
      <c r="J33" s="3"/>
    </row>
    <row r="34" spans="1:10" ht="13.9">
      <c r="A34" s="7" t="s">
        <v>289</v>
      </c>
      <c r="B34" s="5">
        <v>5</v>
      </c>
      <c r="C34" s="5" t="s">
        <v>11</v>
      </c>
      <c r="D34" s="28"/>
    </row>
    <row r="35" spans="1:10" ht="13.9">
      <c r="A35" s="7"/>
      <c r="B35" s="5">
        <v>1</v>
      </c>
      <c r="C35" s="5" t="s">
        <v>12</v>
      </c>
    </row>
    <row r="36" spans="1:10">
      <c r="A36" s="14">
        <v>20181113</v>
      </c>
      <c r="B36" s="4">
        <v>8</v>
      </c>
      <c r="C36" s="4" t="s">
        <v>125</v>
      </c>
      <c r="D36" t="s">
        <v>320</v>
      </c>
      <c r="E36" s="15"/>
    </row>
    <row r="37" spans="1:10" ht="13.9">
      <c r="A37" s="4">
        <v>2013</v>
      </c>
      <c r="B37" s="4">
        <v>4</v>
      </c>
      <c r="C37" s="5" t="s">
        <v>184</v>
      </c>
      <c r="D37" t="s">
        <v>185</v>
      </c>
      <c r="E37" s="15"/>
    </row>
    <row r="38" spans="1:10" ht="30.75">
      <c r="A38" s="20" t="s">
        <v>186</v>
      </c>
      <c r="B38" s="4">
        <v>10</v>
      </c>
      <c r="C38" s="5" t="s">
        <v>187</v>
      </c>
      <c r="D38" s="1" t="s">
        <v>188</v>
      </c>
      <c r="E38" s="15"/>
    </row>
    <row r="39" spans="1:10">
      <c r="A39" s="4">
        <v>31</v>
      </c>
      <c r="B39" s="4">
        <v>2</v>
      </c>
      <c r="C39" s="5" t="s">
        <v>64</v>
      </c>
      <c r="D39" s="1"/>
      <c r="E39" s="15"/>
    </row>
    <row r="40" spans="1:10" ht="30.75">
      <c r="A40" s="4" t="s">
        <v>292</v>
      </c>
      <c r="B40" s="4">
        <v>31</v>
      </c>
      <c r="C40" s="5" t="s">
        <v>67</v>
      </c>
      <c r="D40" s="1" t="s">
        <v>321</v>
      </c>
      <c r="E40" s="15"/>
    </row>
    <row r="41" spans="1:10" ht="30.75">
      <c r="A41" s="20" t="s">
        <v>233</v>
      </c>
      <c r="B41" s="4">
        <v>28</v>
      </c>
      <c r="C41" s="5" t="s">
        <v>234</v>
      </c>
      <c r="D41" s="1" t="s">
        <v>194</v>
      </c>
      <c r="E41" s="15"/>
    </row>
    <row r="42" spans="1:10" ht="13.9">
      <c r="A42" s="4">
        <v>42</v>
      </c>
      <c r="B42" s="4">
        <v>2</v>
      </c>
      <c r="C42" s="5" t="s">
        <v>322</v>
      </c>
      <c r="D42" t="s">
        <v>295</v>
      </c>
      <c r="E42" s="15"/>
    </row>
    <row r="43" spans="1:10" ht="13.9">
      <c r="A43" s="10" t="s">
        <v>17</v>
      </c>
      <c r="B43" s="11">
        <f>SUM(B33:B42)</f>
        <v>95</v>
      </c>
      <c r="C43" s="5"/>
    </row>
    <row r="48" spans="1:10" ht="13.9">
      <c r="A48" s="27" t="s">
        <v>36</v>
      </c>
      <c r="B48" s="27"/>
      <c r="C48" s="27"/>
      <c r="D48" s="27"/>
    </row>
    <row r="49" spans="1:10" ht="13.9">
      <c r="A49" t="s">
        <v>43</v>
      </c>
      <c r="B49" s="25" t="s">
        <v>323</v>
      </c>
      <c r="C49" s="25"/>
      <c r="D49" s="25"/>
      <c r="E49" s="25"/>
      <c r="F49" s="25"/>
      <c r="G49" s="25"/>
      <c r="H49" s="25"/>
      <c r="I49" s="25"/>
      <c r="J49" s="25"/>
    </row>
    <row r="50" spans="1:10" ht="13.9">
      <c r="A50" s="6" t="s">
        <v>3</v>
      </c>
      <c r="B50" s="6" t="s">
        <v>4</v>
      </c>
      <c r="C50" s="6" t="s">
        <v>5</v>
      </c>
      <c r="D50" s="6" t="s">
        <v>6</v>
      </c>
      <c r="E50" s="3"/>
      <c r="F50" s="3"/>
      <c r="G50" s="3"/>
      <c r="H50" s="3"/>
      <c r="I50" s="3"/>
      <c r="J50" s="3"/>
    </row>
    <row r="51" spans="1:10" ht="13.9">
      <c r="A51" s="5" t="s">
        <v>45</v>
      </c>
      <c r="B51" s="5">
        <v>4</v>
      </c>
      <c r="C51" s="5" t="s">
        <v>46</v>
      </c>
      <c r="D51" s="28" t="s">
        <v>9</v>
      </c>
      <c r="E51" s="3"/>
      <c r="F51" s="3"/>
      <c r="G51" s="3"/>
      <c r="H51" s="3"/>
      <c r="I51" s="3"/>
      <c r="J51" s="3"/>
    </row>
    <row r="52" spans="1:10" ht="13.9">
      <c r="A52" s="7" t="s">
        <v>324</v>
      </c>
      <c r="B52" s="5">
        <v>5</v>
      </c>
      <c r="C52" s="5" t="s">
        <v>11</v>
      </c>
      <c r="D52" s="28"/>
    </row>
    <row r="53" spans="1:10" ht="13.9">
      <c r="A53" s="7"/>
      <c r="B53" s="5">
        <v>1</v>
      </c>
      <c r="C53" s="5" t="s">
        <v>12</v>
      </c>
    </row>
    <row r="54" spans="1:10">
      <c r="A54" s="19" t="s">
        <v>200</v>
      </c>
      <c r="B54" s="4">
        <v>10</v>
      </c>
      <c r="C54" s="4" t="s">
        <v>201</v>
      </c>
      <c r="D54" t="s">
        <v>202</v>
      </c>
      <c r="E54" s="15"/>
    </row>
    <row r="55" spans="1:10" ht="13.9">
      <c r="A55" s="4" t="s">
        <v>203</v>
      </c>
      <c r="B55" s="4">
        <v>3</v>
      </c>
      <c r="C55" s="5" t="s">
        <v>204</v>
      </c>
      <c r="D55" t="s">
        <v>205</v>
      </c>
      <c r="E55" s="15"/>
    </row>
    <row r="56" spans="1:10" ht="13.9">
      <c r="A56" s="4">
        <v>16</v>
      </c>
      <c r="B56" s="4">
        <v>2</v>
      </c>
      <c r="C56" s="5" t="s">
        <v>64</v>
      </c>
      <c r="D56" s="1"/>
      <c r="E56" s="15"/>
    </row>
    <row r="57" spans="1:10" ht="30.75">
      <c r="A57" s="4" t="s">
        <v>301</v>
      </c>
      <c r="B57" s="4" t="s">
        <v>325</v>
      </c>
      <c r="C57" s="5" t="s">
        <v>67</v>
      </c>
      <c r="D57" s="1" t="s">
        <v>212</v>
      </c>
      <c r="E57" s="15"/>
    </row>
    <row r="58" spans="1:10">
      <c r="A58" s="20" t="s">
        <v>178</v>
      </c>
      <c r="B58" s="4">
        <v>2</v>
      </c>
      <c r="C58" s="5" t="s">
        <v>214</v>
      </c>
      <c r="D58" s="1"/>
      <c r="E58" s="15"/>
    </row>
    <row r="59" spans="1:10">
      <c r="A59" s="4"/>
      <c r="B59" s="4" t="s">
        <v>325</v>
      </c>
      <c r="C59" s="5" t="s">
        <v>216</v>
      </c>
      <c r="D59" s="1" t="s">
        <v>326</v>
      </c>
      <c r="E59" s="15"/>
    </row>
    <row r="60" spans="1:10">
      <c r="A60" s="20" t="s">
        <v>178</v>
      </c>
      <c r="B60" s="4">
        <v>2</v>
      </c>
      <c r="C60" s="5" t="s">
        <v>327</v>
      </c>
      <c r="D60" s="1"/>
      <c r="E60" s="15"/>
    </row>
    <row r="61" spans="1:10" ht="45.75">
      <c r="A61" s="4"/>
      <c r="B61" s="4" t="s">
        <v>325</v>
      </c>
      <c r="C61" s="5" t="s">
        <v>328</v>
      </c>
      <c r="D61" s="1" t="s">
        <v>329</v>
      </c>
      <c r="E61" s="15"/>
    </row>
    <row r="62" spans="1:10" ht="13.9">
      <c r="A62" s="20" t="s">
        <v>302</v>
      </c>
      <c r="B62" s="4">
        <v>28</v>
      </c>
      <c r="C62" s="5" t="s">
        <v>234</v>
      </c>
      <c r="D62" t="s">
        <v>194</v>
      </c>
      <c r="E62" s="15"/>
    </row>
    <row r="63" spans="1:10" ht="13.9">
      <c r="A63" s="10" t="s">
        <v>17</v>
      </c>
      <c r="B63" s="11">
        <f>SUM(B51:B62)</f>
        <v>57</v>
      </c>
      <c r="C63" s="5"/>
    </row>
    <row r="67" spans="1:1">
      <c r="A67" s="23" t="s">
        <v>224</v>
      </c>
    </row>
    <row r="68" spans="1:1">
      <c r="A68" s="23" t="s">
        <v>225</v>
      </c>
    </row>
  </sheetData>
  <mergeCells count="12">
    <mergeCell ref="A1:D1"/>
    <mergeCell ref="B2:J2"/>
    <mergeCell ref="D4:D5"/>
    <mergeCell ref="A16:D16"/>
    <mergeCell ref="B17:J17"/>
    <mergeCell ref="B49:J49"/>
    <mergeCell ref="D51:D52"/>
    <mergeCell ref="D19:D20"/>
    <mergeCell ref="A30:D30"/>
    <mergeCell ref="B31:J31"/>
    <mergeCell ref="D33:D34"/>
    <mergeCell ref="A48:D48"/>
  </mergeCell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990e36c-849d-448d-a8b3-7ea38702e32f" xsi:nil="true"/>
    <lcf76f155ced4ddcb4097134ff3c332f xmlns="07986354-2dff-4782-9dcf-50c37bc440ec">
      <Terms xmlns="http://schemas.microsoft.com/office/infopath/2007/PartnerControls"/>
    </lcf76f155ced4ddcb4097134ff3c332f>
    <SharedWithUsers xmlns="6990e36c-849d-448d-a8b3-7ea38702e32f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E6853A00779C4A882961C5D132730F" ma:contentTypeVersion="16" ma:contentTypeDescription="Crear nuevo documento." ma:contentTypeScope="" ma:versionID="f6cb160a4bc0ef7f7e7ad10fa7ef0045">
  <xsd:schema xmlns:xsd="http://www.w3.org/2001/XMLSchema" xmlns:xs="http://www.w3.org/2001/XMLSchema" xmlns:p="http://schemas.microsoft.com/office/2006/metadata/properties" xmlns:ns1="http://schemas.microsoft.com/sharepoint/v3" xmlns:ns2="07986354-2dff-4782-9dcf-50c37bc440ec" xmlns:ns3="6990e36c-849d-448d-a8b3-7ea38702e32f" targetNamespace="http://schemas.microsoft.com/office/2006/metadata/properties" ma:root="true" ma:fieldsID="88212a89508569d0c977cdbb72687b2f" ns1:_="" ns2:_="" ns3:_="">
    <xsd:import namespace="http://schemas.microsoft.com/sharepoint/v3"/>
    <xsd:import namespace="07986354-2dff-4782-9dcf-50c37bc440ec"/>
    <xsd:import namespace="6990e36c-849d-448d-a8b3-7ea38702e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6354-2dff-4782-9dcf-50c37bc440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1640acf-bd4e-46df-aa23-5539428095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0e36c-849d-448d-a8b3-7ea38702e3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2e6a36-1a2b-43a8-a1ab-1a57563259a9}" ma:internalName="TaxCatchAll" ma:showField="CatchAllData" ma:web="6990e36c-849d-448d-a8b3-7ea38702e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D773CA-3565-4E5A-9B30-D0642DDBB604}"/>
</file>

<file path=customXml/itemProps2.xml><?xml version="1.0" encoding="utf-8"?>
<ds:datastoreItem xmlns:ds="http://schemas.openxmlformats.org/officeDocument/2006/customXml" ds:itemID="{E6CC49A4-3AEE-483D-B507-7E00991DB75E}"/>
</file>

<file path=customXml/itemProps3.xml><?xml version="1.0" encoding="utf-8"?>
<ds:datastoreItem xmlns:ds="http://schemas.openxmlformats.org/officeDocument/2006/customXml" ds:itemID="{34C85F60-6BC8-45B0-84A3-C9FEDC1B007A}"/>
</file>

<file path=docMetadata/LabelInfo.xml><?xml version="1.0" encoding="utf-8"?>
<clbl:labelList xmlns:clbl="http://schemas.microsoft.com/office/2020/mipLabelMetadata">
  <clbl:label id="{28c26e95-113f-4755-9563-e8b568169dda}" enabled="1" method="Standard" siteId="{8165d060-2552-4665-afdf-9889a34989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achang</dc:creator>
  <cp:keywords/>
  <dc:description/>
  <cp:lastModifiedBy>Cindy Espinoza</cp:lastModifiedBy>
  <cp:revision>49</cp:revision>
  <dcterms:created xsi:type="dcterms:W3CDTF">2015-02-24T00:44:46Z</dcterms:created>
  <dcterms:modified xsi:type="dcterms:W3CDTF">2026-03-30T20:04:00Z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9ad84c88-4074-4714-94ea-4985e9c4c4b8</vt:lpwstr>
  </property>
  <property fmtid="{D5CDD505-2E9C-101B-9397-08002B2CF9AE}" pid="7" name="ContentTypeId">
    <vt:lpwstr>0x01010091E6853A00779C4A882961C5D132730F</vt:lpwstr>
  </property>
  <property fmtid="{D5CDD505-2E9C-101B-9397-08002B2CF9AE}" pid="8" name="Order">
    <vt:r8>62700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